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1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kuharagakuen-my.sharepoint.com/personal/25a1188_m365_kyukyo-u_ac_jp/Documents/デスクトップ/11_情報処理演習Ⅱ/"/>
    </mc:Choice>
  </mc:AlternateContent>
  <xr:revisionPtr revIDLastSave="608" documentId="13_ncr:1_{E305F442-2523-4FDA-BA0E-C6652BE22023}" xr6:coauthVersionLast="47" xr6:coauthVersionMax="47" xr10:uidLastSave="{1CD27AA6-C013-4881-AB09-65A601EF46D7}"/>
  <bookViews>
    <workbookView xWindow="-110" yWindow="-110" windowWidth="19420" windowHeight="10300" xr2:uid="{0E0488AD-7F60-4C8A-8193-7A5D6E948291}"/>
  </bookViews>
  <sheets>
    <sheet name="Sheet1" sheetId="1" r:id="rId1"/>
  </sheets>
  <definedNames>
    <definedName name="_xlnm._FilterDatabase" localSheetId="0" hidden="1">Sheet1!$A$6:$BH$375</definedName>
    <definedName name="_xlchart.v1.0" hidden="1">Sheet1!$H$6</definedName>
    <definedName name="_xlchart.v1.1" hidden="1">Sheet1!$H$7:$H$375</definedName>
    <definedName name="_xlchart.v1.10" hidden="1">Sheet1!$AX$6</definedName>
    <definedName name="_xlchart.v1.11" hidden="1">Sheet1!$AX$7:$AX$375</definedName>
    <definedName name="_xlchart.v1.12" hidden="1">Sheet1!$AZ$6</definedName>
    <definedName name="_xlchart.v1.13" hidden="1">Sheet1!$AZ$7:$AZ$375</definedName>
    <definedName name="_xlchart.v1.14" hidden="1">Sheet1!$D$6</definedName>
    <definedName name="_xlchart.v1.15" hidden="1">Sheet1!$D$7:$D$375</definedName>
    <definedName name="_xlchart.v1.16" hidden="1">Sheet1!$F$6</definedName>
    <definedName name="_xlchart.v1.17" hidden="1">Sheet1!$F$7:$F$375</definedName>
    <definedName name="_xlchart.v1.18" hidden="1">Sheet1!$BB$6</definedName>
    <definedName name="_xlchart.v1.19" hidden="1">Sheet1!$BB$7:$BB$375</definedName>
    <definedName name="_xlchart.v1.2" hidden="1">Sheet1!$J$6</definedName>
    <definedName name="_xlchart.v1.20" hidden="1">Sheet1!$BD$6</definedName>
    <definedName name="_xlchart.v1.21" hidden="1">Sheet1!$BD$7:$BD$375</definedName>
    <definedName name="_xlchart.v1.22" hidden="1">Sheet1!$AF$6</definedName>
    <definedName name="_xlchart.v1.23" hidden="1">Sheet1!$AF$7:$AF$375</definedName>
    <definedName name="_xlchart.v1.24" hidden="1">Sheet1!$AH$6</definedName>
    <definedName name="_xlchart.v1.25" hidden="1">Sheet1!$AH$7:$AH$375</definedName>
    <definedName name="_xlchart.v1.26" hidden="1">Sheet1!$T$6</definedName>
    <definedName name="_xlchart.v1.27" hidden="1">Sheet1!$T$7:$T$375</definedName>
    <definedName name="_xlchart.v1.28" hidden="1">Sheet1!$V$6</definedName>
    <definedName name="_xlchart.v1.29" hidden="1">Sheet1!$V$7:$V$375</definedName>
    <definedName name="_xlchart.v1.3" hidden="1">Sheet1!$J$7:$J$375</definedName>
    <definedName name="_xlchart.v1.30" hidden="1">Sheet1!$AB$6</definedName>
    <definedName name="_xlchart.v1.31" hidden="1">Sheet1!$AB$7:$AB$375</definedName>
    <definedName name="_xlchart.v1.32" hidden="1">Sheet1!$Z$6</definedName>
    <definedName name="_xlchart.v1.33" hidden="1">Sheet1!$Z$7:$Z$375</definedName>
    <definedName name="_xlchart.v1.34" hidden="1">Sheet1!$N$6</definedName>
    <definedName name="_xlchart.v1.35" hidden="1">Sheet1!$N$7:$N$375</definedName>
    <definedName name="_xlchart.v1.36" hidden="1">Sheet1!$P$6</definedName>
    <definedName name="_xlchart.v1.37" hidden="1">Sheet1!$P$7:$P$375</definedName>
    <definedName name="_xlchart.v1.38" hidden="1">Sheet1!$X$6</definedName>
    <definedName name="_xlchart.v1.39" hidden="1">Sheet1!$X$7:$X$375</definedName>
    <definedName name="_xlchart.v1.4" hidden="1">Sheet1!$L$6</definedName>
    <definedName name="_xlchart.v1.40" hidden="1">Sheet1!$X$6</definedName>
    <definedName name="_xlchart.v1.41" hidden="1">Sheet1!$X$7:$X$375</definedName>
    <definedName name="_xlchart.v1.42" hidden="1">Sheet1!$AL$6</definedName>
    <definedName name="_xlchart.v1.43" hidden="1">Sheet1!$AL$7:$AL$375</definedName>
    <definedName name="_xlchart.v1.44" hidden="1">Sheet1!$AN$6</definedName>
    <definedName name="_xlchart.v1.45" hidden="1">Sheet1!$AN$7:$AN$375</definedName>
    <definedName name="_xlchart.v1.46" hidden="1">Sheet1!$AP$6</definedName>
    <definedName name="_xlchart.v1.47" hidden="1">Sheet1!$AP$7:$AP$375</definedName>
    <definedName name="_xlchart.v1.48" hidden="1">Sheet1!$AR$6</definedName>
    <definedName name="_xlchart.v1.49" hidden="1">Sheet1!$AR$7:$AR$375</definedName>
    <definedName name="_xlchart.v1.5" hidden="1">Sheet1!$L$7:$L$375</definedName>
    <definedName name="_xlchart.v1.50" hidden="1">Sheet1!$AT$6</definedName>
    <definedName name="_xlchart.v1.51" hidden="1">Sheet1!$AT$7:$AT$375</definedName>
    <definedName name="_xlchart.v1.52" hidden="1">Sheet1!$AV$6</definedName>
    <definedName name="_xlchart.v1.53" hidden="1">Sheet1!$AV$7:$AV$375</definedName>
    <definedName name="_xlchart.v1.54" hidden="1">Sheet1!$AJ$6</definedName>
    <definedName name="_xlchart.v1.55" hidden="1">Sheet1!$AJ$7:$AJ$375</definedName>
    <definedName name="_xlchart.v1.56" hidden="1">Sheet1!$N$6</definedName>
    <definedName name="_xlchart.v1.57" hidden="1">Sheet1!$N$7:$N$375</definedName>
    <definedName name="_xlchart.v1.58" hidden="1">Sheet1!$AD$6</definedName>
    <definedName name="_xlchart.v1.59" hidden="1">Sheet1!$AD$7:$AD$375</definedName>
    <definedName name="_xlchart.v1.6" hidden="1">Sheet1!$D$6</definedName>
    <definedName name="_xlchart.v1.60" hidden="1">Sheet1!$BH$6</definedName>
    <definedName name="_xlchart.v1.61" hidden="1">Sheet1!$BH$7:$BH$375</definedName>
    <definedName name="_xlchart.v1.62" hidden="1">Sheet1!$N$6</definedName>
    <definedName name="_xlchart.v1.63" hidden="1">Sheet1!$N$7:$N$375</definedName>
    <definedName name="_xlchart.v1.64" hidden="1">Sheet1!$P$6</definedName>
    <definedName name="_xlchart.v1.65" hidden="1">Sheet1!$P$7:$P$375</definedName>
    <definedName name="_xlchart.v1.66" hidden="1">Sheet1!$R$6</definedName>
    <definedName name="_xlchart.v1.67" hidden="1">Sheet1!$R$7:$R$375</definedName>
    <definedName name="_xlchart.v1.68" hidden="1">Sheet1!$T$6</definedName>
    <definedName name="_xlchart.v1.69" hidden="1">Sheet1!$T$7:$T$375</definedName>
    <definedName name="_xlchart.v1.7" hidden="1">Sheet1!$D$7:$D$375</definedName>
    <definedName name="_xlchart.v1.70" hidden="1">Sheet1!$V$6</definedName>
    <definedName name="_xlchart.v1.71" hidden="1">Sheet1!$V$7:$V$375</definedName>
    <definedName name="_xlchart.v1.72" hidden="1">Sheet1!$AD$6</definedName>
    <definedName name="_xlchart.v1.73" hidden="1">Sheet1!$AD$7:$AD$375</definedName>
    <definedName name="_xlchart.v1.74" hidden="1">Sheet1!$BH$6</definedName>
    <definedName name="_xlchart.v1.75" hidden="1">Sheet1!$BH$7:$BH$375</definedName>
    <definedName name="_xlchart.v1.76" hidden="1">Sheet1!$T$6</definedName>
    <definedName name="_xlchart.v1.77" hidden="1">Sheet1!$T$7:$T$375</definedName>
    <definedName name="_xlchart.v1.78" hidden="1">Sheet1!$V$6</definedName>
    <definedName name="_xlchart.v1.79" hidden="1">Sheet1!$V$7:$V$375</definedName>
    <definedName name="_xlchart.v1.8" hidden="1">Sheet1!$F$6</definedName>
    <definedName name="_xlchart.v1.80" hidden="1">Sheet1!$BF$6</definedName>
    <definedName name="_xlchart.v1.81" hidden="1">Sheet1!$BF$7:$BF$375</definedName>
    <definedName name="_xlchart.v1.82" hidden="1">Sheet1!$BH$6</definedName>
    <definedName name="_xlchart.v1.83" hidden="1">Sheet1!$BH$7:$BH$375</definedName>
    <definedName name="_xlchart.v1.9" hidden="1">Sheet1!$F$7:$F$375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07" i="1" l="1"/>
  <c r="F407" i="1"/>
  <c r="G407" i="1"/>
  <c r="H407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K407" i="1"/>
  <c r="AL407" i="1"/>
  <c r="AM407" i="1"/>
  <c r="AN407" i="1"/>
  <c r="AO407" i="1"/>
  <c r="AP407" i="1"/>
  <c r="AQ407" i="1"/>
  <c r="AR407" i="1"/>
  <c r="AS407" i="1"/>
  <c r="AT407" i="1"/>
  <c r="AU407" i="1"/>
  <c r="AV407" i="1"/>
  <c r="AW407" i="1"/>
  <c r="AX407" i="1"/>
  <c r="AY407" i="1"/>
  <c r="AZ407" i="1"/>
  <c r="BA407" i="1"/>
  <c r="BB407" i="1"/>
  <c r="BC407" i="1"/>
  <c r="BD407" i="1"/>
  <c r="BE407" i="1"/>
  <c r="BF407" i="1"/>
  <c r="BG407" i="1"/>
  <c r="BH407" i="1"/>
  <c r="BI407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J406" i="1"/>
  <c r="AK406" i="1"/>
  <c r="AL406" i="1"/>
  <c r="AM406" i="1"/>
  <c r="AN406" i="1"/>
  <c r="AO406" i="1"/>
  <c r="AP406" i="1"/>
  <c r="AQ406" i="1"/>
  <c r="AR406" i="1"/>
  <c r="AS406" i="1"/>
  <c r="AT406" i="1"/>
  <c r="AU406" i="1"/>
  <c r="AV406" i="1"/>
  <c r="AW406" i="1"/>
  <c r="AX406" i="1"/>
  <c r="AY406" i="1"/>
  <c r="AZ406" i="1"/>
  <c r="BA406" i="1"/>
  <c r="BB406" i="1"/>
  <c r="BC406" i="1"/>
  <c r="BD406" i="1"/>
  <c r="BE406" i="1"/>
  <c r="BF406" i="1"/>
  <c r="BG406" i="1"/>
  <c r="BH406" i="1"/>
  <c r="BI406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J405" i="1"/>
  <c r="AK405" i="1"/>
  <c r="AL405" i="1"/>
  <c r="AM405" i="1"/>
  <c r="AN405" i="1"/>
  <c r="AO405" i="1"/>
  <c r="AP405" i="1"/>
  <c r="AQ405" i="1"/>
  <c r="AR405" i="1"/>
  <c r="AS405" i="1"/>
  <c r="AT405" i="1"/>
  <c r="AU405" i="1"/>
  <c r="AV405" i="1"/>
  <c r="AW405" i="1"/>
  <c r="AX405" i="1"/>
  <c r="AY405" i="1"/>
  <c r="AZ405" i="1"/>
  <c r="BA405" i="1"/>
  <c r="BB405" i="1"/>
  <c r="BC405" i="1"/>
  <c r="BD405" i="1"/>
  <c r="BE405" i="1"/>
  <c r="BF405" i="1"/>
  <c r="BG405" i="1"/>
  <c r="BH405" i="1"/>
  <c r="BI405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J404" i="1"/>
  <c r="AK404" i="1"/>
  <c r="AL404" i="1"/>
  <c r="AM404" i="1"/>
  <c r="AN404" i="1"/>
  <c r="AO404" i="1"/>
  <c r="AP404" i="1"/>
  <c r="AQ404" i="1"/>
  <c r="AR404" i="1"/>
  <c r="AS404" i="1"/>
  <c r="AT404" i="1"/>
  <c r="AU404" i="1"/>
  <c r="AV404" i="1"/>
  <c r="AW404" i="1"/>
  <c r="AX404" i="1"/>
  <c r="AY404" i="1"/>
  <c r="AZ404" i="1"/>
  <c r="BA404" i="1"/>
  <c r="BB404" i="1"/>
  <c r="BC404" i="1"/>
  <c r="BD404" i="1"/>
  <c r="BE404" i="1"/>
  <c r="BF404" i="1"/>
  <c r="BG404" i="1"/>
  <c r="BH404" i="1"/>
  <c r="BI404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K403" i="1"/>
  <c r="AL403" i="1"/>
  <c r="AM403" i="1"/>
  <c r="AN403" i="1"/>
  <c r="AO403" i="1"/>
  <c r="AP403" i="1"/>
  <c r="AQ403" i="1"/>
  <c r="AR403" i="1"/>
  <c r="AS403" i="1"/>
  <c r="AT403" i="1"/>
  <c r="AU403" i="1"/>
  <c r="AV403" i="1"/>
  <c r="AW403" i="1"/>
  <c r="AX403" i="1"/>
  <c r="AY403" i="1"/>
  <c r="AZ403" i="1"/>
  <c r="BA403" i="1"/>
  <c r="BB403" i="1"/>
  <c r="BC403" i="1"/>
  <c r="BD403" i="1"/>
  <c r="BE403" i="1"/>
  <c r="BF403" i="1"/>
  <c r="BG403" i="1"/>
  <c r="BH403" i="1"/>
  <c r="BI403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K402" i="1"/>
  <c r="AL402" i="1"/>
  <c r="AM402" i="1"/>
  <c r="AN402" i="1"/>
  <c r="AO402" i="1"/>
  <c r="AP402" i="1"/>
  <c r="AQ402" i="1"/>
  <c r="AR402" i="1"/>
  <c r="AS402" i="1"/>
  <c r="AT402" i="1"/>
  <c r="AU402" i="1"/>
  <c r="AV402" i="1"/>
  <c r="AW402" i="1"/>
  <c r="AX402" i="1"/>
  <c r="AY402" i="1"/>
  <c r="AZ402" i="1"/>
  <c r="BA402" i="1"/>
  <c r="BB402" i="1"/>
  <c r="BC402" i="1"/>
  <c r="BD402" i="1"/>
  <c r="BE402" i="1"/>
  <c r="BF402" i="1"/>
  <c r="BG402" i="1"/>
  <c r="BH402" i="1"/>
  <c r="BI402" i="1"/>
  <c r="D407" i="1"/>
  <c r="D406" i="1"/>
  <c r="D405" i="1"/>
  <c r="D404" i="1"/>
  <c r="D403" i="1"/>
  <c r="D402" i="1"/>
  <c r="I7" i="1"/>
  <c r="BM7" i="1" a="1"/>
  <c r="BM7" i="1" s="1"/>
  <c r="BI375" i="1"/>
  <c r="BI374" i="1"/>
  <c r="BI373" i="1"/>
  <c r="BI372" i="1"/>
  <c r="BI371" i="1"/>
  <c r="BI370" i="1"/>
  <c r="BI369" i="1"/>
  <c r="BI368" i="1"/>
  <c r="BI367" i="1"/>
  <c r="BI366" i="1"/>
  <c r="BI365" i="1"/>
  <c r="BI364" i="1"/>
  <c r="BI363" i="1"/>
  <c r="BI362" i="1"/>
  <c r="BI361" i="1"/>
  <c r="BI360" i="1"/>
  <c r="BI359" i="1"/>
  <c r="BI358" i="1"/>
  <c r="BI357" i="1"/>
  <c r="BI356" i="1"/>
  <c r="BI355" i="1"/>
  <c r="BI354" i="1"/>
  <c r="BI353" i="1"/>
  <c r="BI352" i="1"/>
  <c r="BI351" i="1"/>
  <c r="BI350" i="1"/>
  <c r="BI349" i="1"/>
  <c r="BI348" i="1"/>
  <c r="BI347" i="1"/>
  <c r="BI346" i="1"/>
  <c r="BI345" i="1"/>
  <c r="BI344" i="1"/>
  <c r="BI343" i="1"/>
  <c r="BI342" i="1"/>
  <c r="BI341" i="1"/>
  <c r="BI340" i="1"/>
  <c r="BI339" i="1"/>
  <c r="BI338" i="1"/>
  <c r="BI337" i="1"/>
  <c r="BI336" i="1"/>
  <c r="BI335" i="1"/>
  <c r="BI334" i="1"/>
  <c r="BI333" i="1"/>
  <c r="BI332" i="1"/>
  <c r="BI331" i="1"/>
  <c r="BI330" i="1"/>
  <c r="BI329" i="1"/>
  <c r="BI328" i="1"/>
  <c r="BI327" i="1"/>
  <c r="BI326" i="1"/>
  <c r="BI325" i="1"/>
  <c r="BI324" i="1"/>
  <c r="BI323" i="1"/>
  <c r="BI322" i="1"/>
  <c r="BI321" i="1"/>
  <c r="BI320" i="1"/>
  <c r="BI319" i="1"/>
  <c r="BI318" i="1"/>
  <c r="BI317" i="1"/>
  <c r="BI316" i="1"/>
  <c r="BI315" i="1"/>
  <c r="BI314" i="1"/>
  <c r="BI313" i="1"/>
  <c r="BI312" i="1"/>
  <c r="BI311" i="1"/>
  <c r="BI310" i="1"/>
  <c r="BI309" i="1"/>
  <c r="BI308" i="1"/>
  <c r="BI307" i="1"/>
  <c r="BI306" i="1"/>
  <c r="BI305" i="1"/>
  <c r="BI304" i="1"/>
  <c r="BI303" i="1"/>
  <c r="BI302" i="1"/>
  <c r="BI301" i="1"/>
  <c r="BI300" i="1"/>
  <c r="BI299" i="1"/>
  <c r="BI298" i="1"/>
  <c r="BI297" i="1"/>
  <c r="BI296" i="1"/>
  <c r="BI295" i="1"/>
  <c r="BI294" i="1"/>
  <c r="BI293" i="1"/>
  <c r="BI292" i="1"/>
  <c r="BI291" i="1"/>
  <c r="BI290" i="1"/>
  <c r="BI289" i="1"/>
  <c r="BI288" i="1"/>
  <c r="BI287" i="1"/>
  <c r="BI286" i="1"/>
  <c r="BI285" i="1"/>
  <c r="BI284" i="1"/>
  <c r="BI283" i="1"/>
  <c r="BI282" i="1"/>
  <c r="BI281" i="1"/>
  <c r="BI280" i="1"/>
  <c r="BI279" i="1"/>
  <c r="BI278" i="1"/>
  <c r="BI277" i="1"/>
  <c r="BI276" i="1"/>
  <c r="BI275" i="1"/>
  <c r="BI274" i="1"/>
  <c r="BI273" i="1"/>
  <c r="BI272" i="1"/>
  <c r="BI271" i="1"/>
  <c r="BI270" i="1"/>
  <c r="BI269" i="1"/>
  <c r="BI268" i="1"/>
  <c r="BI267" i="1"/>
  <c r="BI266" i="1"/>
  <c r="BI265" i="1"/>
  <c r="BI264" i="1"/>
  <c r="BI263" i="1"/>
  <c r="BI262" i="1"/>
  <c r="BI261" i="1"/>
  <c r="BI260" i="1"/>
  <c r="BI259" i="1"/>
  <c r="BI258" i="1"/>
  <c r="BI257" i="1"/>
  <c r="BI256" i="1"/>
  <c r="BI255" i="1"/>
  <c r="BI254" i="1"/>
  <c r="BI253" i="1"/>
  <c r="BI252" i="1"/>
  <c r="BI251" i="1"/>
  <c r="BI250" i="1"/>
  <c r="BI249" i="1"/>
  <c r="BI248" i="1"/>
  <c r="BI247" i="1"/>
  <c r="BI246" i="1"/>
  <c r="BI245" i="1"/>
  <c r="BI244" i="1"/>
  <c r="BI243" i="1"/>
  <c r="BI242" i="1"/>
  <c r="BI241" i="1"/>
  <c r="BI240" i="1"/>
  <c r="BI239" i="1"/>
  <c r="BI238" i="1"/>
  <c r="BI237" i="1"/>
  <c r="BI236" i="1"/>
  <c r="BI235" i="1"/>
  <c r="BI234" i="1"/>
  <c r="BI233" i="1"/>
  <c r="BI232" i="1"/>
  <c r="BI231" i="1"/>
  <c r="BI230" i="1"/>
  <c r="BI229" i="1"/>
  <c r="BI228" i="1"/>
  <c r="BI227" i="1"/>
  <c r="BI226" i="1"/>
  <c r="BI225" i="1"/>
  <c r="BI224" i="1"/>
  <c r="BI223" i="1"/>
  <c r="BI222" i="1"/>
  <c r="BI221" i="1"/>
  <c r="BI220" i="1"/>
  <c r="BI219" i="1"/>
  <c r="BI218" i="1"/>
  <c r="BI217" i="1"/>
  <c r="BI216" i="1"/>
  <c r="BI215" i="1"/>
  <c r="BI214" i="1"/>
  <c r="BI213" i="1"/>
  <c r="BI212" i="1"/>
  <c r="BI211" i="1"/>
  <c r="BI210" i="1"/>
  <c r="BI209" i="1"/>
  <c r="BI208" i="1"/>
  <c r="BI207" i="1"/>
  <c r="BI206" i="1"/>
  <c r="BI205" i="1"/>
  <c r="BI204" i="1"/>
  <c r="BI203" i="1"/>
  <c r="BI202" i="1"/>
  <c r="BI201" i="1"/>
  <c r="BI200" i="1"/>
  <c r="BI199" i="1"/>
  <c r="BI198" i="1"/>
  <c r="BI197" i="1"/>
  <c r="BI196" i="1"/>
  <c r="BI195" i="1"/>
  <c r="BI194" i="1"/>
  <c r="BI193" i="1"/>
  <c r="BI192" i="1"/>
  <c r="BI191" i="1"/>
  <c r="BI190" i="1"/>
  <c r="BI189" i="1"/>
  <c r="BI188" i="1"/>
  <c r="BI187" i="1"/>
  <c r="BI186" i="1"/>
  <c r="BI185" i="1"/>
  <c r="BI184" i="1"/>
  <c r="BI183" i="1"/>
  <c r="BI182" i="1"/>
  <c r="BI181" i="1"/>
  <c r="BI180" i="1"/>
  <c r="BI179" i="1"/>
  <c r="BI178" i="1"/>
  <c r="BI177" i="1"/>
  <c r="BI176" i="1"/>
  <c r="BI175" i="1"/>
  <c r="BI174" i="1"/>
  <c r="BI173" i="1"/>
  <c r="BI172" i="1"/>
  <c r="BI171" i="1"/>
  <c r="BI170" i="1"/>
  <c r="BI169" i="1"/>
  <c r="BI168" i="1"/>
  <c r="BI167" i="1"/>
  <c r="BI166" i="1"/>
  <c r="BI165" i="1"/>
  <c r="BI164" i="1"/>
  <c r="BI163" i="1"/>
  <c r="BI162" i="1"/>
  <c r="BI161" i="1"/>
  <c r="BI160" i="1"/>
  <c r="BI159" i="1"/>
  <c r="BI158" i="1"/>
  <c r="BI157" i="1"/>
  <c r="BI156" i="1"/>
  <c r="BI155" i="1"/>
  <c r="BI154" i="1"/>
  <c r="BI153" i="1"/>
  <c r="BI152" i="1"/>
  <c r="BI151" i="1"/>
  <c r="BI150" i="1"/>
  <c r="BI149" i="1"/>
  <c r="BI148" i="1"/>
  <c r="BI147" i="1"/>
  <c r="BI146" i="1"/>
  <c r="BI145" i="1"/>
  <c r="BI144" i="1"/>
  <c r="BI143" i="1"/>
  <c r="BI142" i="1"/>
  <c r="BI141" i="1"/>
  <c r="BI140" i="1"/>
  <c r="BI139" i="1"/>
  <c r="BI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20" i="1"/>
  <c r="BI119" i="1"/>
  <c r="BI118" i="1"/>
  <c r="BI117" i="1"/>
  <c r="BI116" i="1"/>
  <c r="BI115" i="1"/>
  <c r="BI114" i="1"/>
  <c r="BI113" i="1"/>
  <c r="BI112" i="1"/>
  <c r="BI111" i="1"/>
  <c r="BI110" i="1"/>
  <c r="BI109" i="1"/>
  <c r="BI108" i="1"/>
  <c r="BI107" i="1"/>
  <c r="BI106" i="1"/>
  <c r="BI105" i="1"/>
  <c r="BI104" i="1"/>
  <c r="BI103" i="1"/>
  <c r="BI102" i="1"/>
  <c r="BI101" i="1"/>
  <c r="BI100" i="1"/>
  <c r="BI99" i="1"/>
  <c r="BI98" i="1"/>
  <c r="BI97" i="1"/>
  <c r="BI96" i="1"/>
  <c r="BI95" i="1"/>
  <c r="BI94" i="1"/>
  <c r="BI93" i="1"/>
  <c r="BI92" i="1"/>
  <c r="BI91" i="1"/>
  <c r="BI90" i="1"/>
  <c r="BI89" i="1"/>
  <c r="BI88" i="1"/>
  <c r="BI87" i="1"/>
  <c r="BI86" i="1"/>
  <c r="BI85" i="1"/>
  <c r="BI84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I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BI10" i="1"/>
  <c r="BI9" i="1"/>
  <c r="BI8" i="1"/>
  <c r="BI7" i="1"/>
  <c r="BG375" i="1"/>
  <c r="BG374" i="1"/>
  <c r="BG373" i="1"/>
  <c r="BG372" i="1"/>
  <c r="BG371" i="1"/>
  <c r="BG370" i="1"/>
  <c r="BG369" i="1"/>
  <c r="BG368" i="1"/>
  <c r="BG367" i="1"/>
  <c r="BG366" i="1"/>
  <c r="BG365" i="1"/>
  <c r="BG364" i="1"/>
  <c r="BG363" i="1"/>
  <c r="BG362" i="1"/>
  <c r="BG361" i="1"/>
  <c r="BG360" i="1"/>
  <c r="BG359" i="1"/>
  <c r="BG358" i="1"/>
  <c r="BG357" i="1"/>
  <c r="BG356" i="1"/>
  <c r="BG355" i="1"/>
  <c r="BG354" i="1"/>
  <c r="BG353" i="1"/>
  <c r="BG352" i="1"/>
  <c r="BG351" i="1"/>
  <c r="BG350" i="1"/>
  <c r="BG349" i="1"/>
  <c r="BG348" i="1"/>
  <c r="BG347" i="1"/>
  <c r="BG346" i="1"/>
  <c r="BG345" i="1"/>
  <c r="BG344" i="1"/>
  <c r="BG343" i="1"/>
  <c r="BG342" i="1"/>
  <c r="BG341" i="1"/>
  <c r="BG340" i="1"/>
  <c r="BG339" i="1"/>
  <c r="BG338" i="1"/>
  <c r="BG337" i="1"/>
  <c r="BG336" i="1"/>
  <c r="BG335" i="1"/>
  <c r="BG334" i="1"/>
  <c r="BG333" i="1"/>
  <c r="BG332" i="1"/>
  <c r="BG331" i="1"/>
  <c r="BG330" i="1"/>
  <c r="BG329" i="1"/>
  <c r="BG328" i="1"/>
  <c r="BG327" i="1"/>
  <c r="BG326" i="1"/>
  <c r="BG325" i="1"/>
  <c r="BG324" i="1"/>
  <c r="BG323" i="1"/>
  <c r="BG322" i="1"/>
  <c r="BG321" i="1"/>
  <c r="BG320" i="1"/>
  <c r="BG319" i="1"/>
  <c r="BG318" i="1"/>
  <c r="BG317" i="1"/>
  <c r="BG316" i="1"/>
  <c r="BG315" i="1"/>
  <c r="BG314" i="1"/>
  <c r="BG313" i="1"/>
  <c r="BG312" i="1"/>
  <c r="BG311" i="1"/>
  <c r="BG310" i="1"/>
  <c r="BG309" i="1"/>
  <c r="BG308" i="1"/>
  <c r="BG307" i="1"/>
  <c r="BG306" i="1"/>
  <c r="BG305" i="1"/>
  <c r="BG304" i="1"/>
  <c r="BG303" i="1"/>
  <c r="BG302" i="1"/>
  <c r="BG301" i="1"/>
  <c r="BG300" i="1"/>
  <c r="BG299" i="1"/>
  <c r="BG298" i="1"/>
  <c r="BG297" i="1"/>
  <c r="BG296" i="1"/>
  <c r="BG295" i="1"/>
  <c r="BG294" i="1"/>
  <c r="BG293" i="1"/>
  <c r="BG292" i="1"/>
  <c r="BG291" i="1"/>
  <c r="BG290" i="1"/>
  <c r="BG289" i="1"/>
  <c r="BG288" i="1"/>
  <c r="BG287" i="1"/>
  <c r="BG286" i="1"/>
  <c r="BG285" i="1"/>
  <c r="BG284" i="1"/>
  <c r="BG283" i="1"/>
  <c r="BG282" i="1"/>
  <c r="BG281" i="1"/>
  <c r="BG280" i="1"/>
  <c r="BG279" i="1"/>
  <c r="BG278" i="1"/>
  <c r="BG277" i="1"/>
  <c r="BG276" i="1"/>
  <c r="BG275" i="1"/>
  <c r="BG274" i="1"/>
  <c r="BG273" i="1"/>
  <c r="BG272" i="1"/>
  <c r="BG271" i="1"/>
  <c r="BG270" i="1"/>
  <c r="BG269" i="1"/>
  <c r="BG268" i="1"/>
  <c r="BG267" i="1"/>
  <c r="BG266" i="1"/>
  <c r="BG265" i="1"/>
  <c r="BG264" i="1"/>
  <c r="BG263" i="1"/>
  <c r="BG262" i="1"/>
  <c r="BG261" i="1"/>
  <c r="BG260" i="1"/>
  <c r="BG259" i="1"/>
  <c r="BG258" i="1"/>
  <c r="BG257" i="1"/>
  <c r="BG256" i="1"/>
  <c r="BG255" i="1"/>
  <c r="BG254" i="1"/>
  <c r="BG253" i="1"/>
  <c r="BG252" i="1"/>
  <c r="BG251" i="1"/>
  <c r="BG250" i="1"/>
  <c r="BG249" i="1"/>
  <c r="BG248" i="1"/>
  <c r="BG247" i="1"/>
  <c r="BG246" i="1"/>
  <c r="BG245" i="1"/>
  <c r="BG244" i="1"/>
  <c r="BG243" i="1"/>
  <c r="BG242" i="1"/>
  <c r="BG241" i="1"/>
  <c r="BG240" i="1"/>
  <c r="BG239" i="1"/>
  <c r="BG238" i="1"/>
  <c r="BG237" i="1"/>
  <c r="BG236" i="1"/>
  <c r="BG235" i="1"/>
  <c r="BG234" i="1"/>
  <c r="BG233" i="1"/>
  <c r="BG232" i="1"/>
  <c r="BG231" i="1"/>
  <c r="BG230" i="1"/>
  <c r="BG229" i="1"/>
  <c r="BG228" i="1"/>
  <c r="BG227" i="1"/>
  <c r="BG226" i="1"/>
  <c r="BG225" i="1"/>
  <c r="BG224" i="1"/>
  <c r="BG223" i="1"/>
  <c r="BG222" i="1"/>
  <c r="BG221" i="1"/>
  <c r="BG220" i="1"/>
  <c r="BG219" i="1"/>
  <c r="BG218" i="1"/>
  <c r="BG217" i="1"/>
  <c r="BG216" i="1"/>
  <c r="BG215" i="1"/>
  <c r="BG214" i="1"/>
  <c r="BG213" i="1"/>
  <c r="BG212" i="1"/>
  <c r="BG211" i="1"/>
  <c r="BG210" i="1"/>
  <c r="BG209" i="1"/>
  <c r="BG208" i="1"/>
  <c r="BG207" i="1"/>
  <c r="BG206" i="1"/>
  <c r="BG205" i="1"/>
  <c r="BG204" i="1"/>
  <c r="BG203" i="1"/>
  <c r="BG202" i="1"/>
  <c r="BG201" i="1"/>
  <c r="BG200" i="1"/>
  <c r="BG199" i="1"/>
  <c r="BG198" i="1"/>
  <c r="BG197" i="1"/>
  <c r="BG196" i="1"/>
  <c r="BG195" i="1"/>
  <c r="BG194" i="1"/>
  <c r="BG193" i="1"/>
  <c r="BG192" i="1"/>
  <c r="BG191" i="1"/>
  <c r="BG190" i="1"/>
  <c r="BG189" i="1"/>
  <c r="BG188" i="1"/>
  <c r="BG187" i="1"/>
  <c r="BG186" i="1"/>
  <c r="BG185" i="1"/>
  <c r="BG184" i="1"/>
  <c r="BG183" i="1"/>
  <c r="BG182" i="1"/>
  <c r="BG181" i="1"/>
  <c r="BG180" i="1"/>
  <c r="BG179" i="1"/>
  <c r="BG178" i="1"/>
  <c r="BG177" i="1"/>
  <c r="BG176" i="1"/>
  <c r="BG175" i="1"/>
  <c r="BG174" i="1"/>
  <c r="BG173" i="1"/>
  <c r="BG172" i="1"/>
  <c r="BG171" i="1"/>
  <c r="BG170" i="1"/>
  <c r="BG169" i="1"/>
  <c r="BG168" i="1"/>
  <c r="BG167" i="1"/>
  <c r="BG166" i="1"/>
  <c r="BG165" i="1"/>
  <c r="BG164" i="1"/>
  <c r="BG163" i="1"/>
  <c r="BG162" i="1"/>
  <c r="BG161" i="1"/>
  <c r="BG160" i="1"/>
  <c r="BG159" i="1"/>
  <c r="BG158" i="1"/>
  <c r="BG157" i="1"/>
  <c r="BG156" i="1"/>
  <c r="BG155" i="1"/>
  <c r="BG154" i="1"/>
  <c r="BG153" i="1"/>
  <c r="BG152" i="1"/>
  <c r="BG151" i="1"/>
  <c r="BG150" i="1"/>
  <c r="BG149" i="1"/>
  <c r="BG148" i="1"/>
  <c r="BG147" i="1"/>
  <c r="BG146" i="1"/>
  <c r="BG145" i="1"/>
  <c r="BG144" i="1"/>
  <c r="BG143" i="1"/>
  <c r="BG142" i="1"/>
  <c r="BG141" i="1"/>
  <c r="BG140" i="1"/>
  <c r="BG139" i="1"/>
  <c r="BG138" i="1"/>
  <c r="BG137" i="1"/>
  <c r="BG136" i="1"/>
  <c r="BG135" i="1"/>
  <c r="BG134" i="1"/>
  <c r="BG133" i="1"/>
  <c r="BG132" i="1"/>
  <c r="BG131" i="1"/>
  <c r="BG130" i="1"/>
  <c r="BG129" i="1"/>
  <c r="BG128" i="1"/>
  <c r="BG127" i="1"/>
  <c r="BG126" i="1"/>
  <c r="BG125" i="1"/>
  <c r="BG124" i="1"/>
  <c r="BG123" i="1"/>
  <c r="BG122" i="1"/>
  <c r="BG121" i="1"/>
  <c r="BG120" i="1"/>
  <c r="BG119" i="1"/>
  <c r="BG118" i="1"/>
  <c r="BG117" i="1"/>
  <c r="BG116" i="1"/>
  <c r="BG115" i="1"/>
  <c r="BG114" i="1"/>
  <c r="BG113" i="1"/>
  <c r="BG112" i="1"/>
  <c r="BG111" i="1"/>
  <c r="BG110" i="1"/>
  <c r="BG109" i="1"/>
  <c r="BG108" i="1"/>
  <c r="BG107" i="1"/>
  <c r="BG106" i="1"/>
  <c r="BG105" i="1"/>
  <c r="BG104" i="1"/>
  <c r="BG103" i="1"/>
  <c r="BG102" i="1"/>
  <c r="BG101" i="1"/>
  <c r="BG100" i="1"/>
  <c r="BG99" i="1"/>
  <c r="BG98" i="1"/>
  <c r="BG97" i="1"/>
  <c r="BG96" i="1"/>
  <c r="BG95" i="1"/>
  <c r="BG94" i="1"/>
  <c r="BG93" i="1"/>
  <c r="BG92" i="1"/>
  <c r="BG91" i="1"/>
  <c r="BG90" i="1"/>
  <c r="BG89" i="1"/>
  <c r="BG88" i="1"/>
  <c r="BG87" i="1"/>
  <c r="BG86" i="1"/>
  <c r="BG85" i="1"/>
  <c r="BG84" i="1"/>
  <c r="BG83" i="1"/>
  <c r="BG82" i="1"/>
  <c r="BG81" i="1"/>
  <c r="BG80" i="1"/>
  <c r="BG79" i="1"/>
  <c r="BG78" i="1"/>
  <c r="BG77" i="1"/>
  <c r="BG76" i="1"/>
  <c r="BG75" i="1"/>
  <c r="BG74" i="1"/>
  <c r="BG73" i="1"/>
  <c r="BG72" i="1"/>
  <c r="BG71" i="1"/>
  <c r="BG70" i="1"/>
  <c r="BG69" i="1"/>
  <c r="BG68" i="1"/>
  <c r="BG67" i="1"/>
  <c r="BG66" i="1"/>
  <c r="BG65" i="1"/>
  <c r="BG64" i="1"/>
  <c r="BG63" i="1"/>
  <c r="BG62" i="1"/>
  <c r="BG61" i="1"/>
  <c r="BG60" i="1"/>
  <c r="BG59" i="1"/>
  <c r="BG58" i="1"/>
  <c r="BG57" i="1"/>
  <c r="BG56" i="1"/>
  <c r="BG55" i="1"/>
  <c r="BG54" i="1"/>
  <c r="BG53" i="1"/>
  <c r="BG52" i="1"/>
  <c r="BG51" i="1"/>
  <c r="BG50" i="1"/>
  <c r="BG49" i="1"/>
  <c r="BG48" i="1"/>
  <c r="BG47" i="1"/>
  <c r="BG46" i="1"/>
  <c r="BG45" i="1"/>
  <c r="BG44" i="1"/>
  <c r="BG43" i="1"/>
  <c r="BG42" i="1"/>
  <c r="BG41" i="1"/>
  <c r="BG40" i="1"/>
  <c r="BG39" i="1"/>
  <c r="BG38" i="1"/>
  <c r="BG37" i="1"/>
  <c r="BG36" i="1"/>
  <c r="BG35" i="1"/>
  <c r="BG34" i="1"/>
  <c r="BG33" i="1"/>
  <c r="BG32" i="1"/>
  <c r="BG31" i="1"/>
  <c r="BG30" i="1"/>
  <c r="BG29" i="1"/>
  <c r="BG28" i="1"/>
  <c r="BG27" i="1"/>
  <c r="BG26" i="1"/>
  <c r="BG25" i="1"/>
  <c r="BG24" i="1"/>
  <c r="BG23" i="1"/>
  <c r="BG22" i="1"/>
  <c r="BG21" i="1"/>
  <c r="BG20" i="1"/>
  <c r="BG19" i="1"/>
  <c r="BG18" i="1"/>
  <c r="BG17" i="1"/>
  <c r="BG16" i="1"/>
  <c r="BG15" i="1"/>
  <c r="BG14" i="1"/>
  <c r="BG13" i="1"/>
  <c r="BG12" i="1"/>
  <c r="BG11" i="1"/>
  <c r="BG10" i="1"/>
  <c r="BG9" i="1"/>
  <c r="BG8" i="1"/>
  <c r="BG7" i="1"/>
  <c r="BE375" i="1"/>
  <c r="BE374" i="1"/>
  <c r="BE373" i="1"/>
  <c r="BE372" i="1"/>
  <c r="BE371" i="1"/>
  <c r="BE370" i="1"/>
  <c r="BE369" i="1"/>
  <c r="BE368" i="1"/>
  <c r="BE367" i="1"/>
  <c r="BE366" i="1"/>
  <c r="BE365" i="1"/>
  <c r="BE364" i="1"/>
  <c r="BE363" i="1"/>
  <c r="BE362" i="1"/>
  <c r="BE361" i="1"/>
  <c r="BE360" i="1"/>
  <c r="BE359" i="1"/>
  <c r="BE358" i="1"/>
  <c r="BE357" i="1"/>
  <c r="BE356" i="1"/>
  <c r="BE355" i="1"/>
  <c r="BE354" i="1"/>
  <c r="BE353" i="1"/>
  <c r="BE352" i="1"/>
  <c r="BE351" i="1"/>
  <c r="BE350" i="1"/>
  <c r="BE349" i="1"/>
  <c r="BE348" i="1"/>
  <c r="BE347" i="1"/>
  <c r="BE346" i="1"/>
  <c r="BE345" i="1"/>
  <c r="BE344" i="1"/>
  <c r="BE343" i="1"/>
  <c r="BE342" i="1"/>
  <c r="BE341" i="1"/>
  <c r="BE340" i="1"/>
  <c r="BE339" i="1"/>
  <c r="BE338" i="1"/>
  <c r="BE337" i="1"/>
  <c r="BE336" i="1"/>
  <c r="BE335" i="1"/>
  <c r="BE334" i="1"/>
  <c r="BE333" i="1"/>
  <c r="BE332" i="1"/>
  <c r="BE331" i="1"/>
  <c r="BE330" i="1"/>
  <c r="BE329" i="1"/>
  <c r="BE328" i="1"/>
  <c r="BE327" i="1"/>
  <c r="BE326" i="1"/>
  <c r="BE325" i="1"/>
  <c r="BE324" i="1"/>
  <c r="BE323" i="1"/>
  <c r="BE322" i="1"/>
  <c r="BE321" i="1"/>
  <c r="BE320" i="1"/>
  <c r="BE319" i="1"/>
  <c r="BE318" i="1"/>
  <c r="BE317" i="1"/>
  <c r="BE316" i="1"/>
  <c r="BE315" i="1"/>
  <c r="BE314" i="1"/>
  <c r="BE313" i="1"/>
  <c r="BE312" i="1"/>
  <c r="BE311" i="1"/>
  <c r="BE310" i="1"/>
  <c r="BE309" i="1"/>
  <c r="BE308" i="1"/>
  <c r="BE307" i="1"/>
  <c r="BE306" i="1"/>
  <c r="BE305" i="1"/>
  <c r="BE304" i="1"/>
  <c r="BE303" i="1"/>
  <c r="BE302" i="1"/>
  <c r="BE301" i="1"/>
  <c r="BE300" i="1"/>
  <c r="BE299" i="1"/>
  <c r="BE298" i="1"/>
  <c r="BE297" i="1"/>
  <c r="BE296" i="1"/>
  <c r="BE295" i="1"/>
  <c r="BE294" i="1"/>
  <c r="BE293" i="1"/>
  <c r="BE292" i="1"/>
  <c r="BE291" i="1"/>
  <c r="BE290" i="1"/>
  <c r="BE289" i="1"/>
  <c r="BE288" i="1"/>
  <c r="BE287" i="1"/>
  <c r="BE286" i="1"/>
  <c r="BE285" i="1"/>
  <c r="BE284" i="1"/>
  <c r="BE283" i="1"/>
  <c r="BE282" i="1"/>
  <c r="BE281" i="1"/>
  <c r="BE280" i="1"/>
  <c r="BE279" i="1"/>
  <c r="BE278" i="1"/>
  <c r="BE277" i="1"/>
  <c r="BE276" i="1"/>
  <c r="BE275" i="1"/>
  <c r="BE274" i="1"/>
  <c r="BE273" i="1"/>
  <c r="BE272" i="1"/>
  <c r="BE271" i="1"/>
  <c r="BE270" i="1"/>
  <c r="BE269" i="1"/>
  <c r="BE268" i="1"/>
  <c r="BE267" i="1"/>
  <c r="BE266" i="1"/>
  <c r="BE265" i="1"/>
  <c r="BE264" i="1"/>
  <c r="BE263" i="1"/>
  <c r="BE262" i="1"/>
  <c r="BE261" i="1"/>
  <c r="BE260" i="1"/>
  <c r="BE259" i="1"/>
  <c r="BE258" i="1"/>
  <c r="BE257" i="1"/>
  <c r="BE256" i="1"/>
  <c r="BE255" i="1"/>
  <c r="BE254" i="1"/>
  <c r="BE253" i="1"/>
  <c r="BE252" i="1"/>
  <c r="BE251" i="1"/>
  <c r="BE250" i="1"/>
  <c r="BE249" i="1"/>
  <c r="BE248" i="1"/>
  <c r="BE247" i="1"/>
  <c r="BE246" i="1"/>
  <c r="BE245" i="1"/>
  <c r="BE244" i="1"/>
  <c r="BE243" i="1"/>
  <c r="BE242" i="1"/>
  <c r="BE241" i="1"/>
  <c r="BE240" i="1"/>
  <c r="BE239" i="1"/>
  <c r="BE238" i="1"/>
  <c r="BE237" i="1"/>
  <c r="BE236" i="1"/>
  <c r="BE235" i="1"/>
  <c r="BE234" i="1"/>
  <c r="BE233" i="1"/>
  <c r="BE232" i="1"/>
  <c r="BE231" i="1"/>
  <c r="BE230" i="1"/>
  <c r="BE229" i="1"/>
  <c r="BE228" i="1"/>
  <c r="BE227" i="1"/>
  <c r="BE226" i="1"/>
  <c r="BE225" i="1"/>
  <c r="BE224" i="1"/>
  <c r="BE223" i="1"/>
  <c r="BE222" i="1"/>
  <c r="BE221" i="1"/>
  <c r="BE220" i="1"/>
  <c r="BE219" i="1"/>
  <c r="BE218" i="1"/>
  <c r="BE217" i="1"/>
  <c r="BE216" i="1"/>
  <c r="BE215" i="1"/>
  <c r="BE214" i="1"/>
  <c r="BE213" i="1"/>
  <c r="BE212" i="1"/>
  <c r="BE211" i="1"/>
  <c r="BE210" i="1"/>
  <c r="BE209" i="1"/>
  <c r="BE208" i="1"/>
  <c r="BE207" i="1"/>
  <c r="BE206" i="1"/>
  <c r="BE205" i="1"/>
  <c r="BE204" i="1"/>
  <c r="BE203" i="1"/>
  <c r="BE202" i="1"/>
  <c r="BE201" i="1"/>
  <c r="BE200" i="1"/>
  <c r="BE199" i="1"/>
  <c r="BE198" i="1"/>
  <c r="BE197" i="1"/>
  <c r="BE196" i="1"/>
  <c r="BE195" i="1"/>
  <c r="BE194" i="1"/>
  <c r="BE193" i="1"/>
  <c r="BE192" i="1"/>
  <c r="BE191" i="1"/>
  <c r="BE190" i="1"/>
  <c r="BE189" i="1"/>
  <c r="BE188" i="1"/>
  <c r="BE187" i="1"/>
  <c r="BE186" i="1"/>
  <c r="BE185" i="1"/>
  <c r="BE184" i="1"/>
  <c r="BE183" i="1"/>
  <c r="BE182" i="1"/>
  <c r="BE181" i="1"/>
  <c r="BE180" i="1"/>
  <c r="BE179" i="1"/>
  <c r="BE178" i="1"/>
  <c r="BE177" i="1"/>
  <c r="BE176" i="1"/>
  <c r="BE175" i="1"/>
  <c r="BE174" i="1"/>
  <c r="BE173" i="1"/>
  <c r="BE172" i="1"/>
  <c r="BE171" i="1"/>
  <c r="BE170" i="1"/>
  <c r="BE169" i="1"/>
  <c r="BE168" i="1"/>
  <c r="BE167" i="1"/>
  <c r="BE166" i="1"/>
  <c r="BE165" i="1"/>
  <c r="BE164" i="1"/>
  <c r="BE163" i="1"/>
  <c r="BE162" i="1"/>
  <c r="BE161" i="1"/>
  <c r="BE160" i="1"/>
  <c r="BE159" i="1"/>
  <c r="BE158" i="1"/>
  <c r="BE157" i="1"/>
  <c r="BE156" i="1"/>
  <c r="BE155" i="1"/>
  <c r="BE154" i="1"/>
  <c r="BE153" i="1"/>
  <c r="BE152" i="1"/>
  <c r="BE151" i="1"/>
  <c r="BE150" i="1"/>
  <c r="BE149" i="1"/>
  <c r="BE148" i="1"/>
  <c r="BE147" i="1"/>
  <c r="BE146" i="1"/>
  <c r="BE145" i="1"/>
  <c r="BE144" i="1"/>
  <c r="BE143" i="1"/>
  <c r="BE142" i="1"/>
  <c r="BE141" i="1"/>
  <c r="BE140" i="1"/>
  <c r="BE139" i="1"/>
  <c r="BE138" i="1"/>
  <c r="BE137" i="1"/>
  <c r="BE136" i="1"/>
  <c r="BE135" i="1"/>
  <c r="BE134" i="1"/>
  <c r="BE133" i="1"/>
  <c r="BE132" i="1"/>
  <c r="BE131" i="1"/>
  <c r="BE130" i="1"/>
  <c r="BE129" i="1"/>
  <c r="BE128" i="1"/>
  <c r="BE127" i="1"/>
  <c r="BE126" i="1"/>
  <c r="BE125" i="1"/>
  <c r="BE124" i="1"/>
  <c r="BE123" i="1"/>
  <c r="BE122" i="1"/>
  <c r="BE121" i="1"/>
  <c r="BE120" i="1"/>
  <c r="BE119" i="1"/>
  <c r="BE118" i="1"/>
  <c r="BE117" i="1"/>
  <c r="BE116" i="1"/>
  <c r="BE115" i="1"/>
  <c r="BE114" i="1"/>
  <c r="BE113" i="1"/>
  <c r="BE112" i="1"/>
  <c r="BE111" i="1"/>
  <c r="BE110" i="1"/>
  <c r="BE109" i="1"/>
  <c r="BE108" i="1"/>
  <c r="BE107" i="1"/>
  <c r="BE106" i="1"/>
  <c r="BE105" i="1"/>
  <c r="BE104" i="1"/>
  <c r="BE103" i="1"/>
  <c r="BE102" i="1"/>
  <c r="BE101" i="1"/>
  <c r="BE100" i="1"/>
  <c r="BE99" i="1"/>
  <c r="BE98" i="1"/>
  <c r="BE97" i="1"/>
  <c r="BE96" i="1"/>
  <c r="BE95" i="1"/>
  <c r="BE94" i="1"/>
  <c r="BE93" i="1"/>
  <c r="BE92" i="1"/>
  <c r="BE91" i="1"/>
  <c r="BE90" i="1"/>
  <c r="BE89" i="1"/>
  <c r="BE88" i="1"/>
  <c r="BE87" i="1"/>
  <c r="BE86" i="1"/>
  <c r="BE85" i="1"/>
  <c r="BE84" i="1"/>
  <c r="BE83" i="1"/>
  <c r="BE82" i="1"/>
  <c r="BE81" i="1"/>
  <c r="BE80" i="1"/>
  <c r="BE79" i="1"/>
  <c r="BE78" i="1"/>
  <c r="BE77" i="1"/>
  <c r="BE76" i="1"/>
  <c r="BE75" i="1"/>
  <c r="BE74" i="1"/>
  <c r="BE73" i="1"/>
  <c r="BE72" i="1"/>
  <c r="BE71" i="1"/>
  <c r="BE70" i="1"/>
  <c r="BE69" i="1"/>
  <c r="BE68" i="1"/>
  <c r="BE67" i="1"/>
  <c r="BE66" i="1"/>
  <c r="BE65" i="1"/>
  <c r="BE64" i="1"/>
  <c r="BE63" i="1"/>
  <c r="BE62" i="1"/>
  <c r="BE61" i="1"/>
  <c r="BE60" i="1"/>
  <c r="BE59" i="1"/>
  <c r="BE58" i="1"/>
  <c r="BE57" i="1"/>
  <c r="BE56" i="1"/>
  <c r="BE55" i="1"/>
  <c r="BE54" i="1"/>
  <c r="BE53" i="1"/>
  <c r="BE52" i="1"/>
  <c r="BE51" i="1"/>
  <c r="BE50" i="1"/>
  <c r="BE49" i="1"/>
  <c r="BE48" i="1"/>
  <c r="BE47" i="1"/>
  <c r="BE46" i="1"/>
  <c r="BE45" i="1"/>
  <c r="BE44" i="1"/>
  <c r="BE43" i="1"/>
  <c r="BE42" i="1"/>
  <c r="BE41" i="1"/>
  <c r="BE40" i="1"/>
  <c r="BE39" i="1"/>
  <c r="BE38" i="1"/>
  <c r="BE37" i="1"/>
  <c r="BE3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C375" i="1"/>
  <c r="BC374" i="1"/>
  <c r="BC373" i="1"/>
  <c r="BC372" i="1"/>
  <c r="BC371" i="1"/>
  <c r="BC370" i="1"/>
  <c r="BC369" i="1"/>
  <c r="BC368" i="1"/>
  <c r="BC367" i="1"/>
  <c r="BC366" i="1"/>
  <c r="BC365" i="1"/>
  <c r="BC364" i="1"/>
  <c r="BC363" i="1"/>
  <c r="BC362" i="1"/>
  <c r="BC361" i="1"/>
  <c r="BC360" i="1"/>
  <c r="BC359" i="1"/>
  <c r="BC358" i="1"/>
  <c r="BC357" i="1"/>
  <c r="BC356" i="1"/>
  <c r="BC355" i="1"/>
  <c r="BC354" i="1"/>
  <c r="BC353" i="1"/>
  <c r="BC352" i="1"/>
  <c r="BC351" i="1"/>
  <c r="BC350" i="1"/>
  <c r="BC349" i="1"/>
  <c r="BC348" i="1"/>
  <c r="BC347" i="1"/>
  <c r="BC346" i="1"/>
  <c r="BC345" i="1"/>
  <c r="BC344" i="1"/>
  <c r="BC343" i="1"/>
  <c r="BC342" i="1"/>
  <c r="BC341" i="1"/>
  <c r="BC340" i="1"/>
  <c r="BC339" i="1"/>
  <c r="BC338" i="1"/>
  <c r="BC337" i="1"/>
  <c r="BC336" i="1"/>
  <c r="BC335" i="1"/>
  <c r="BC334" i="1"/>
  <c r="BC333" i="1"/>
  <c r="BC332" i="1"/>
  <c r="BC331" i="1"/>
  <c r="BC330" i="1"/>
  <c r="BC329" i="1"/>
  <c r="BC328" i="1"/>
  <c r="BC327" i="1"/>
  <c r="BC326" i="1"/>
  <c r="BC325" i="1"/>
  <c r="BC324" i="1"/>
  <c r="BC323" i="1"/>
  <c r="BC322" i="1"/>
  <c r="BC321" i="1"/>
  <c r="BC320" i="1"/>
  <c r="BC319" i="1"/>
  <c r="BC318" i="1"/>
  <c r="BC317" i="1"/>
  <c r="BC316" i="1"/>
  <c r="BC315" i="1"/>
  <c r="BC314" i="1"/>
  <c r="BC313" i="1"/>
  <c r="BC312" i="1"/>
  <c r="BC311" i="1"/>
  <c r="BC310" i="1"/>
  <c r="BC309" i="1"/>
  <c r="BC308" i="1"/>
  <c r="BC307" i="1"/>
  <c r="BC306" i="1"/>
  <c r="BC305" i="1"/>
  <c r="BC304" i="1"/>
  <c r="BC303" i="1"/>
  <c r="BC302" i="1"/>
  <c r="BC301" i="1"/>
  <c r="BC300" i="1"/>
  <c r="BC299" i="1"/>
  <c r="BC298" i="1"/>
  <c r="BC297" i="1"/>
  <c r="BC296" i="1"/>
  <c r="BC295" i="1"/>
  <c r="BC294" i="1"/>
  <c r="BC293" i="1"/>
  <c r="BC292" i="1"/>
  <c r="BC291" i="1"/>
  <c r="BC290" i="1"/>
  <c r="BC289" i="1"/>
  <c r="BC288" i="1"/>
  <c r="BC287" i="1"/>
  <c r="BC286" i="1"/>
  <c r="BC285" i="1"/>
  <c r="BC284" i="1"/>
  <c r="BC283" i="1"/>
  <c r="BC282" i="1"/>
  <c r="BC281" i="1"/>
  <c r="BC280" i="1"/>
  <c r="BC279" i="1"/>
  <c r="BC278" i="1"/>
  <c r="BC277" i="1"/>
  <c r="BC276" i="1"/>
  <c r="BC275" i="1"/>
  <c r="BC274" i="1"/>
  <c r="BC273" i="1"/>
  <c r="BC272" i="1"/>
  <c r="BC271" i="1"/>
  <c r="BC270" i="1"/>
  <c r="BC269" i="1"/>
  <c r="BC268" i="1"/>
  <c r="BC267" i="1"/>
  <c r="BC266" i="1"/>
  <c r="BC265" i="1"/>
  <c r="BC264" i="1"/>
  <c r="BC263" i="1"/>
  <c r="BC262" i="1"/>
  <c r="BC261" i="1"/>
  <c r="BC260" i="1"/>
  <c r="BC259" i="1"/>
  <c r="BC258" i="1"/>
  <c r="BC257" i="1"/>
  <c r="BC256" i="1"/>
  <c r="BC255" i="1"/>
  <c r="BC254" i="1"/>
  <c r="BC253" i="1"/>
  <c r="BC252" i="1"/>
  <c r="BC251" i="1"/>
  <c r="BC250" i="1"/>
  <c r="BC249" i="1"/>
  <c r="BC248" i="1"/>
  <c r="BC247" i="1"/>
  <c r="BC246" i="1"/>
  <c r="BC245" i="1"/>
  <c r="BC244" i="1"/>
  <c r="BC243" i="1"/>
  <c r="BC242" i="1"/>
  <c r="BC241" i="1"/>
  <c r="BC240" i="1"/>
  <c r="BC239" i="1"/>
  <c r="BC238" i="1"/>
  <c r="BC237" i="1"/>
  <c r="BC236" i="1"/>
  <c r="BC235" i="1"/>
  <c r="BC234" i="1"/>
  <c r="BC233" i="1"/>
  <c r="BC232" i="1"/>
  <c r="BC231" i="1"/>
  <c r="BC230" i="1"/>
  <c r="BC229" i="1"/>
  <c r="BC228" i="1"/>
  <c r="BC227" i="1"/>
  <c r="BC226" i="1"/>
  <c r="BC225" i="1"/>
  <c r="BC224" i="1"/>
  <c r="BC223" i="1"/>
  <c r="BC222" i="1"/>
  <c r="BC221" i="1"/>
  <c r="BC220" i="1"/>
  <c r="BC219" i="1"/>
  <c r="BC218" i="1"/>
  <c r="BC217" i="1"/>
  <c r="BC216" i="1"/>
  <c r="BC215" i="1"/>
  <c r="BC214" i="1"/>
  <c r="BC213" i="1"/>
  <c r="BC212" i="1"/>
  <c r="BC211" i="1"/>
  <c r="BC210" i="1"/>
  <c r="BC209" i="1"/>
  <c r="BC208" i="1"/>
  <c r="BC207" i="1"/>
  <c r="BC206" i="1"/>
  <c r="BC205" i="1"/>
  <c r="BC204" i="1"/>
  <c r="BC203" i="1"/>
  <c r="BC202" i="1"/>
  <c r="BC201" i="1"/>
  <c r="BC200" i="1"/>
  <c r="BC199" i="1"/>
  <c r="BC198" i="1"/>
  <c r="BC197" i="1"/>
  <c r="BC196" i="1"/>
  <c r="BC195" i="1"/>
  <c r="BC194" i="1"/>
  <c r="BC193" i="1"/>
  <c r="BC192" i="1"/>
  <c r="BC191" i="1"/>
  <c r="BC190" i="1"/>
  <c r="BC189" i="1"/>
  <c r="BC188" i="1"/>
  <c r="BC187" i="1"/>
  <c r="BC186" i="1"/>
  <c r="BC185" i="1"/>
  <c r="BC184" i="1"/>
  <c r="BC183" i="1"/>
  <c r="BC182" i="1"/>
  <c r="BC181" i="1"/>
  <c r="BC180" i="1"/>
  <c r="BC179" i="1"/>
  <c r="BC178" i="1"/>
  <c r="BC177" i="1"/>
  <c r="BC176" i="1"/>
  <c r="BC175" i="1"/>
  <c r="BC174" i="1"/>
  <c r="BC173" i="1"/>
  <c r="BC172" i="1"/>
  <c r="BC171" i="1"/>
  <c r="BC170" i="1"/>
  <c r="BC169" i="1"/>
  <c r="BC168" i="1"/>
  <c r="BC167" i="1"/>
  <c r="BC166" i="1"/>
  <c r="BC165" i="1"/>
  <c r="BC164" i="1"/>
  <c r="BC163" i="1"/>
  <c r="BC162" i="1"/>
  <c r="BC161" i="1"/>
  <c r="BC160" i="1"/>
  <c r="BC159" i="1"/>
  <c r="BC158" i="1"/>
  <c r="BC157" i="1"/>
  <c r="BC156" i="1"/>
  <c r="BC155" i="1"/>
  <c r="BC154" i="1"/>
  <c r="BC153" i="1"/>
  <c r="BC152" i="1"/>
  <c r="BC151" i="1"/>
  <c r="BC150" i="1"/>
  <c r="BC149" i="1"/>
  <c r="BC148" i="1"/>
  <c r="BC147" i="1"/>
  <c r="BC146" i="1"/>
  <c r="BC145" i="1"/>
  <c r="BC144" i="1"/>
  <c r="BC143" i="1"/>
  <c r="BC142" i="1"/>
  <c r="BC141" i="1"/>
  <c r="BC140" i="1"/>
  <c r="BC139" i="1"/>
  <c r="BC138" i="1"/>
  <c r="BC137" i="1"/>
  <c r="BC136" i="1"/>
  <c r="BC135" i="1"/>
  <c r="BC134" i="1"/>
  <c r="BC133" i="1"/>
  <c r="BC132" i="1"/>
  <c r="BC131" i="1"/>
  <c r="BC130" i="1"/>
  <c r="BC129" i="1"/>
  <c r="BC128" i="1"/>
  <c r="BC127" i="1"/>
  <c r="BC126" i="1"/>
  <c r="BC125" i="1"/>
  <c r="BC124" i="1"/>
  <c r="BC123" i="1"/>
  <c r="BC122" i="1"/>
  <c r="BC121" i="1"/>
  <c r="BC120" i="1"/>
  <c r="BC119" i="1"/>
  <c r="BC118" i="1"/>
  <c r="BC117" i="1"/>
  <c r="BC116" i="1"/>
  <c r="BC115" i="1"/>
  <c r="BC114" i="1"/>
  <c r="BC113" i="1"/>
  <c r="BC112" i="1"/>
  <c r="BC111" i="1"/>
  <c r="BC110" i="1"/>
  <c r="BC109" i="1"/>
  <c r="BC108" i="1"/>
  <c r="BC107" i="1"/>
  <c r="BC106" i="1"/>
  <c r="BC105" i="1"/>
  <c r="BC104" i="1"/>
  <c r="BC103" i="1"/>
  <c r="BC102" i="1"/>
  <c r="BC101" i="1"/>
  <c r="BC100" i="1"/>
  <c r="BC99" i="1"/>
  <c r="BC98" i="1"/>
  <c r="BC97" i="1"/>
  <c r="BC96" i="1"/>
  <c r="BC95" i="1"/>
  <c r="BC94" i="1"/>
  <c r="BC93" i="1"/>
  <c r="BC92" i="1"/>
  <c r="BC91" i="1"/>
  <c r="BC90" i="1"/>
  <c r="BC89" i="1"/>
  <c r="BC88" i="1"/>
  <c r="BC87" i="1"/>
  <c r="BC86" i="1"/>
  <c r="BC85" i="1"/>
  <c r="BC84" i="1"/>
  <c r="BC83" i="1"/>
  <c r="BC82" i="1"/>
  <c r="BC81" i="1"/>
  <c r="BC80" i="1"/>
  <c r="BC79" i="1"/>
  <c r="BC78" i="1"/>
  <c r="BC77" i="1"/>
  <c r="BC76" i="1"/>
  <c r="BC75" i="1"/>
  <c r="BC74" i="1"/>
  <c r="BC73" i="1"/>
  <c r="BC72" i="1"/>
  <c r="BC71" i="1"/>
  <c r="BC70" i="1"/>
  <c r="BC69" i="1"/>
  <c r="BC68" i="1"/>
  <c r="BC67" i="1"/>
  <c r="BC66" i="1"/>
  <c r="BC65" i="1"/>
  <c r="BC64" i="1"/>
  <c r="BC63" i="1"/>
  <c r="BC62" i="1"/>
  <c r="BC61" i="1"/>
  <c r="BC60" i="1"/>
  <c r="BC59" i="1"/>
  <c r="BC58" i="1"/>
  <c r="BC57" i="1"/>
  <c r="BC56" i="1"/>
  <c r="BC55" i="1"/>
  <c r="BC54" i="1"/>
  <c r="BC53" i="1"/>
  <c r="BC52" i="1"/>
  <c r="BC51" i="1"/>
  <c r="BC50" i="1"/>
  <c r="BC49" i="1"/>
  <c r="BC48" i="1"/>
  <c r="BC47" i="1"/>
  <c r="BC46" i="1"/>
  <c r="BC45" i="1"/>
  <c r="BC44" i="1"/>
  <c r="BC43" i="1"/>
  <c r="BC42" i="1"/>
  <c r="BC41" i="1"/>
  <c r="BC40" i="1"/>
  <c r="BC39" i="1"/>
  <c r="BC38" i="1"/>
  <c r="BC37" i="1"/>
  <c r="BC36" i="1"/>
  <c r="BC35" i="1"/>
  <c r="BC34" i="1"/>
  <c r="BC33" i="1"/>
  <c r="BC32" i="1"/>
  <c r="BC31" i="1"/>
  <c r="BC30" i="1"/>
  <c r="BC29" i="1"/>
  <c r="BC28" i="1"/>
  <c r="BC27" i="1"/>
  <c r="BC26" i="1"/>
  <c r="BC25" i="1"/>
  <c r="BC24" i="1"/>
  <c r="BC23" i="1"/>
  <c r="BC22" i="1"/>
  <c r="BC21" i="1"/>
  <c r="BC20" i="1"/>
  <c r="BC19" i="1"/>
  <c r="BC18" i="1"/>
  <c r="BC17" i="1"/>
  <c r="BC16" i="1"/>
  <c r="BC15" i="1"/>
  <c r="BC14" i="1"/>
  <c r="BC13" i="1"/>
  <c r="BC12" i="1"/>
  <c r="BC11" i="1"/>
  <c r="BC10" i="1"/>
  <c r="BC9" i="1"/>
  <c r="BC8" i="1"/>
  <c r="BC7" i="1"/>
  <c r="BA375" i="1"/>
  <c r="BA374" i="1"/>
  <c r="BA373" i="1"/>
  <c r="BA372" i="1"/>
  <c r="BA371" i="1"/>
  <c r="BA370" i="1"/>
  <c r="BA369" i="1"/>
  <c r="BA368" i="1"/>
  <c r="BA367" i="1"/>
  <c r="BA366" i="1"/>
  <c r="BA365" i="1"/>
  <c r="BA364" i="1"/>
  <c r="BA363" i="1"/>
  <c r="BA362" i="1"/>
  <c r="BA361" i="1"/>
  <c r="BA360" i="1"/>
  <c r="BA359" i="1"/>
  <c r="BA358" i="1"/>
  <c r="BA357" i="1"/>
  <c r="BA356" i="1"/>
  <c r="BA355" i="1"/>
  <c r="BA354" i="1"/>
  <c r="BA353" i="1"/>
  <c r="BA352" i="1"/>
  <c r="BA351" i="1"/>
  <c r="BA350" i="1"/>
  <c r="BA349" i="1"/>
  <c r="BA348" i="1"/>
  <c r="BA347" i="1"/>
  <c r="BA346" i="1"/>
  <c r="BA345" i="1"/>
  <c r="BA344" i="1"/>
  <c r="BA343" i="1"/>
  <c r="BA342" i="1"/>
  <c r="BA341" i="1"/>
  <c r="BA340" i="1"/>
  <c r="BA339" i="1"/>
  <c r="BA338" i="1"/>
  <c r="BA337" i="1"/>
  <c r="BA336" i="1"/>
  <c r="BA335" i="1"/>
  <c r="BA334" i="1"/>
  <c r="BA333" i="1"/>
  <c r="BA332" i="1"/>
  <c r="BA331" i="1"/>
  <c r="BA330" i="1"/>
  <c r="BA329" i="1"/>
  <c r="BA328" i="1"/>
  <c r="BA327" i="1"/>
  <c r="BA326" i="1"/>
  <c r="BA325" i="1"/>
  <c r="BA324" i="1"/>
  <c r="BA323" i="1"/>
  <c r="BA322" i="1"/>
  <c r="BA321" i="1"/>
  <c r="BA320" i="1"/>
  <c r="BA319" i="1"/>
  <c r="BA318" i="1"/>
  <c r="BA317" i="1"/>
  <c r="BA316" i="1"/>
  <c r="BA315" i="1"/>
  <c r="BA314" i="1"/>
  <c r="BA313" i="1"/>
  <c r="BA312" i="1"/>
  <c r="BA311" i="1"/>
  <c r="BA310" i="1"/>
  <c r="BA309" i="1"/>
  <c r="BA308" i="1"/>
  <c r="BA307" i="1"/>
  <c r="BA306" i="1"/>
  <c r="BA305" i="1"/>
  <c r="BA304" i="1"/>
  <c r="BA303" i="1"/>
  <c r="BA302" i="1"/>
  <c r="BA301" i="1"/>
  <c r="BA300" i="1"/>
  <c r="BA299" i="1"/>
  <c r="BA298" i="1"/>
  <c r="BA297" i="1"/>
  <c r="BA296" i="1"/>
  <c r="BA295" i="1"/>
  <c r="BA294" i="1"/>
  <c r="BA293" i="1"/>
  <c r="BA292" i="1"/>
  <c r="BA291" i="1"/>
  <c r="BA290" i="1"/>
  <c r="BA289" i="1"/>
  <c r="BA288" i="1"/>
  <c r="BA287" i="1"/>
  <c r="BA286" i="1"/>
  <c r="BA285" i="1"/>
  <c r="BA284" i="1"/>
  <c r="BA283" i="1"/>
  <c r="BA282" i="1"/>
  <c r="BA281" i="1"/>
  <c r="BA280" i="1"/>
  <c r="BA279" i="1"/>
  <c r="BA278" i="1"/>
  <c r="BA277" i="1"/>
  <c r="BA276" i="1"/>
  <c r="BA275" i="1"/>
  <c r="BA274" i="1"/>
  <c r="BA273" i="1"/>
  <c r="BA272" i="1"/>
  <c r="BA271" i="1"/>
  <c r="BA270" i="1"/>
  <c r="BA269" i="1"/>
  <c r="BA268" i="1"/>
  <c r="BA267" i="1"/>
  <c r="BA266" i="1"/>
  <c r="BA265" i="1"/>
  <c r="BA264" i="1"/>
  <c r="BA263" i="1"/>
  <c r="BA262" i="1"/>
  <c r="BA261" i="1"/>
  <c r="BA260" i="1"/>
  <c r="BA259" i="1"/>
  <c r="BA258" i="1"/>
  <c r="BA257" i="1"/>
  <c r="BA256" i="1"/>
  <c r="BA255" i="1"/>
  <c r="BA254" i="1"/>
  <c r="BA253" i="1"/>
  <c r="BA252" i="1"/>
  <c r="BA251" i="1"/>
  <c r="BA250" i="1"/>
  <c r="BA249" i="1"/>
  <c r="BA248" i="1"/>
  <c r="BA247" i="1"/>
  <c r="BA246" i="1"/>
  <c r="BA245" i="1"/>
  <c r="BA244" i="1"/>
  <c r="BA243" i="1"/>
  <c r="BA242" i="1"/>
  <c r="BA241" i="1"/>
  <c r="BA240" i="1"/>
  <c r="BA239" i="1"/>
  <c r="BA238" i="1"/>
  <c r="BA237" i="1"/>
  <c r="BA236" i="1"/>
  <c r="BA235" i="1"/>
  <c r="BA234" i="1"/>
  <c r="BA233" i="1"/>
  <c r="BA232" i="1"/>
  <c r="BA231" i="1"/>
  <c r="BA230" i="1"/>
  <c r="BA229" i="1"/>
  <c r="BA228" i="1"/>
  <c r="BA227" i="1"/>
  <c r="BA226" i="1"/>
  <c r="BA225" i="1"/>
  <c r="BA224" i="1"/>
  <c r="BA223" i="1"/>
  <c r="BA222" i="1"/>
  <c r="BA221" i="1"/>
  <c r="BA220" i="1"/>
  <c r="BA219" i="1"/>
  <c r="BA218" i="1"/>
  <c r="BA217" i="1"/>
  <c r="BA216" i="1"/>
  <c r="BA215" i="1"/>
  <c r="BA214" i="1"/>
  <c r="BA213" i="1"/>
  <c r="BA212" i="1"/>
  <c r="BA211" i="1"/>
  <c r="BA210" i="1"/>
  <c r="BA209" i="1"/>
  <c r="BA208" i="1"/>
  <c r="BA207" i="1"/>
  <c r="BA206" i="1"/>
  <c r="BA205" i="1"/>
  <c r="BA204" i="1"/>
  <c r="BA203" i="1"/>
  <c r="BA202" i="1"/>
  <c r="BA201" i="1"/>
  <c r="BA200" i="1"/>
  <c r="BA199" i="1"/>
  <c r="BA198" i="1"/>
  <c r="BA197" i="1"/>
  <c r="BA196" i="1"/>
  <c r="BA195" i="1"/>
  <c r="BA194" i="1"/>
  <c r="BA193" i="1"/>
  <c r="BA192" i="1"/>
  <c r="BA191" i="1"/>
  <c r="BA190" i="1"/>
  <c r="BA189" i="1"/>
  <c r="BA188" i="1"/>
  <c r="BA187" i="1"/>
  <c r="BA186" i="1"/>
  <c r="BA185" i="1"/>
  <c r="BA184" i="1"/>
  <c r="BA183" i="1"/>
  <c r="BA182" i="1"/>
  <c r="BA181" i="1"/>
  <c r="BA180" i="1"/>
  <c r="BA179" i="1"/>
  <c r="BA178" i="1"/>
  <c r="BA177" i="1"/>
  <c r="BA176" i="1"/>
  <c r="BA175" i="1"/>
  <c r="BA174" i="1"/>
  <c r="BA173" i="1"/>
  <c r="BA172" i="1"/>
  <c r="BA171" i="1"/>
  <c r="BA170" i="1"/>
  <c r="BA169" i="1"/>
  <c r="BA168" i="1"/>
  <c r="BA167" i="1"/>
  <c r="BA166" i="1"/>
  <c r="BA165" i="1"/>
  <c r="BA164" i="1"/>
  <c r="BA163" i="1"/>
  <c r="BA162" i="1"/>
  <c r="BA161" i="1"/>
  <c r="BA160" i="1"/>
  <c r="BA159" i="1"/>
  <c r="BA158" i="1"/>
  <c r="BA157" i="1"/>
  <c r="BA156" i="1"/>
  <c r="BA155" i="1"/>
  <c r="BA154" i="1"/>
  <c r="BA153" i="1"/>
  <c r="BA152" i="1"/>
  <c r="BA151" i="1"/>
  <c r="BA150" i="1"/>
  <c r="BA149" i="1"/>
  <c r="BA148" i="1"/>
  <c r="BA147" i="1"/>
  <c r="BA146" i="1"/>
  <c r="BA145" i="1"/>
  <c r="BA144" i="1"/>
  <c r="BA143" i="1"/>
  <c r="BA142" i="1"/>
  <c r="BA141" i="1"/>
  <c r="BA140" i="1"/>
  <c r="BA139" i="1"/>
  <c r="BA138" i="1"/>
  <c r="BA137" i="1"/>
  <c r="BA136" i="1"/>
  <c r="BA135" i="1"/>
  <c r="BA134" i="1"/>
  <c r="BA133" i="1"/>
  <c r="BA132" i="1"/>
  <c r="BA131" i="1"/>
  <c r="BA130" i="1"/>
  <c r="BA129" i="1"/>
  <c r="BA128" i="1"/>
  <c r="BA127" i="1"/>
  <c r="BA126" i="1"/>
  <c r="BA125" i="1"/>
  <c r="BA124" i="1"/>
  <c r="BA123" i="1"/>
  <c r="BA122" i="1"/>
  <c r="BA121" i="1"/>
  <c r="BA120" i="1"/>
  <c r="BA119" i="1"/>
  <c r="BA118" i="1"/>
  <c r="BA117" i="1"/>
  <c r="BA116" i="1"/>
  <c r="BA115" i="1"/>
  <c r="BA114" i="1"/>
  <c r="BA113" i="1"/>
  <c r="BA112" i="1"/>
  <c r="BA111" i="1"/>
  <c r="BA110" i="1"/>
  <c r="BA109" i="1"/>
  <c r="BA108" i="1"/>
  <c r="BA107" i="1"/>
  <c r="BA106" i="1"/>
  <c r="BA105" i="1"/>
  <c r="BA104" i="1"/>
  <c r="BA103" i="1"/>
  <c r="BA102" i="1"/>
  <c r="BA101" i="1"/>
  <c r="BA100" i="1"/>
  <c r="BA99" i="1"/>
  <c r="BA98" i="1"/>
  <c r="BA97" i="1"/>
  <c r="BA96" i="1"/>
  <c r="BA95" i="1"/>
  <c r="BA94" i="1"/>
  <c r="BA93" i="1"/>
  <c r="BA92" i="1"/>
  <c r="BA91" i="1"/>
  <c r="BA90" i="1"/>
  <c r="BA89" i="1"/>
  <c r="BA88" i="1"/>
  <c r="BA87" i="1"/>
  <c r="BA86" i="1"/>
  <c r="BA85" i="1"/>
  <c r="BA84" i="1"/>
  <c r="BA83" i="1"/>
  <c r="BA82" i="1"/>
  <c r="BA81" i="1"/>
  <c r="BA80" i="1"/>
  <c r="BA79" i="1"/>
  <c r="BA78" i="1"/>
  <c r="BA77" i="1"/>
  <c r="BA76" i="1"/>
  <c r="BA75" i="1"/>
  <c r="BA74" i="1"/>
  <c r="BA73" i="1"/>
  <c r="BA72" i="1"/>
  <c r="BA71" i="1"/>
  <c r="BA70" i="1"/>
  <c r="BA69" i="1"/>
  <c r="BA68" i="1"/>
  <c r="BA67" i="1"/>
  <c r="BA66" i="1"/>
  <c r="BA65" i="1"/>
  <c r="BA64" i="1"/>
  <c r="BA63" i="1"/>
  <c r="BA62" i="1"/>
  <c r="BA61" i="1"/>
  <c r="BA60" i="1"/>
  <c r="BA59" i="1"/>
  <c r="BA58" i="1"/>
  <c r="BA57" i="1"/>
  <c r="BA56" i="1"/>
  <c r="BA55" i="1"/>
  <c r="BA54" i="1"/>
  <c r="BA53" i="1"/>
  <c r="BA52" i="1"/>
  <c r="BA51" i="1"/>
  <c r="BA50" i="1"/>
  <c r="BA49" i="1"/>
  <c r="BA48" i="1"/>
  <c r="BA47" i="1"/>
  <c r="BA46" i="1"/>
  <c r="BA45" i="1"/>
  <c r="BA44" i="1"/>
  <c r="BA43" i="1"/>
  <c r="BA42" i="1"/>
  <c r="BA41" i="1"/>
  <c r="BA40" i="1"/>
  <c r="BA39" i="1"/>
  <c r="BA38" i="1"/>
  <c r="BA37" i="1"/>
  <c r="BA36" i="1"/>
  <c r="BA35" i="1"/>
  <c r="BA34" i="1"/>
  <c r="BA33" i="1"/>
  <c r="BA32" i="1"/>
  <c r="BA31" i="1"/>
  <c r="BA30" i="1"/>
  <c r="BA29" i="1"/>
  <c r="BA28" i="1"/>
  <c r="BA27" i="1"/>
  <c r="BA26" i="1"/>
  <c r="BA25" i="1"/>
  <c r="BA24" i="1"/>
  <c r="BA23" i="1"/>
  <c r="BA22" i="1"/>
  <c r="BA21" i="1"/>
  <c r="BA20" i="1"/>
  <c r="BA19" i="1"/>
  <c r="BA18" i="1"/>
  <c r="BA17" i="1"/>
  <c r="BA16" i="1"/>
  <c r="BA15" i="1"/>
  <c r="BA14" i="1"/>
  <c r="BA13" i="1"/>
  <c r="BA12" i="1"/>
  <c r="BA11" i="1"/>
  <c r="BA10" i="1"/>
  <c r="BA9" i="1"/>
  <c r="BA8" i="1"/>
  <c r="BA7" i="1"/>
  <c r="AY375" i="1"/>
  <c r="AY374" i="1"/>
  <c r="AY373" i="1"/>
  <c r="AY372" i="1"/>
  <c r="AY371" i="1"/>
  <c r="AY370" i="1"/>
  <c r="AY369" i="1"/>
  <c r="AY368" i="1"/>
  <c r="AY367" i="1"/>
  <c r="AY366" i="1"/>
  <c r="AY365" i="1"/>
  <c r="AY364" i="1"/>
  <c r="AY363" i="1"/>
  <c r="AY362" i="1"/>
  <c r="AY361" i="1"/>
  <c r="AY360" i="1"/>
  <c r="AY359" i="1"/>
  <c r="AY358" i="1"/>
  <c r="AY357" i="1"/>
  <c r="AY356" i="1"/>
  <c r="AY355" i="1"/>
  <c r="AY354" i="1"/>
  <c r="AY353" i="1"/>
  <c r="AY352" i="1"/>
  <c r="AY351" i="1"/>
  <c r="AY350" i="1"/>
  <c r="AY349" i="1"/>
  <c r="AY348" i="1"/>
  <c r="AY347" i="1"/>
  <c r="AY346" i="1"/>
  <c r="AY345" i="1"/>
  <c r="AY344" i="1"/>
  <c r="AY343" i="1"/>
  <c r="AY342" i="1"/>
  <c r="AY341" i="1"/>
  <c r="AY340" i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320" i="1"/>
  <c r="AY319" i="1"/>
  <c r="AY318" i="1"/>
  <c r="AY317" i="1"/>
  <c r="AY316" i="1"/>
  <c r="AY315" i="1"/>
  <c r="AY314" i="1"/>
  <c r="AY313" i="1"/>
  <c r="AY312" i="1"/>
  <c r="AY311" i="1"/>
  <c r="AY310" i="1"/>
  <c r="AY309" i="1"/>
  <c r="AY308" i="1"/>
  <c r="AY307" i="1"/>
  <c r="AY306" i="1"/>
  <c r="AY305" i="1"/>
  <c r="AY304" i="1"/>
  <c r="AY303" i="1"/>
  <c r="AY302" i="1"/>
  <c r="AY301" i="1"/>
  <c r="AY300" i="1"/>
  <c r="AY299" i="1"/>
  <c r="AY298" i="1"/>
  <c r="AY297" i="1"/>
  <c r="AY296" i="1"/>
  <c r="AY295" i="1"/>
  <c r="AY294" i="1"/>
  <c r="AY293" i="1"/>
  <c r="AY292" i="1"/>
  <c r="AY291" i="1"/>
  <c r="AY290" i="1"/>
  <c r="AY289" i="1"/>
  <c r="AY288" i="1"/>
  <c r="AY287" i="1"/>
  <c r="AY286" i="1"/>
  <c r="AY285" i="1"/>
  <c r="AY284" i="1"/>
  <c r="AY283" i="1"/>
  <c r="AY282" i="1"/>
  <c r="AY281" i="1"/>
  <c r="AY280" i="1"/>
  <c r="AY279" i="1"/>
  <c r="AY278" i="1"/>
  <c r="AY277" i="1"/>
  <c r="AY276" i="1"/>
  <c r="AY275" i="1"/>
  <c r="AY274" i="1"/>
  <c r="AY273" i="1"/>
  <c r="AY272" i="1"/>
  <c r="AY271" i="1"/>
  <c r="AY270" i="1"/>
  <c r="AY269" i="1"/>
  <c r="AY268" i="1"/>
  <c r="AY267" i="1"/>
  <c r="AY266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41" i="1"/>
  <c r="AY240" i="1"/>
  <c r="AY239" i="1"/>
  <c r="AY238" i="1"/>
  <c r="AY237" i="1"/>
  <c r="AY236" i="1"/>
  <c r="AY235" i="1"/>
  <c r="AY234" i="1"/>
  <c r="AY233" i="1"/>
  <c r="AY232" i="1"/>
  <c r="AY231" i="1"/>
  <c r="AY230" i="1"/>
  <c r="AY229" i="1"/>
  <c r="AY228" i="1"/>
  <c r="AY227" i="1"/>
  <c r="AY226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203" i="1"/>
  <c r="AY202" i="1"/>
  <c r="AY201" i="1"/>
  <c r="AY200" i="1"/>
  <c r="AY199" i="1"/>
  <c r="AY198" i="1"/>
  <c r="AY197" i="1"/>
  <c r="AY196" i="1"/>
  <c r="AY195" i="1"/>
  <c r="AY194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W375" i="1"/>
  <c r="AW374" i="1"/>
  <c r="AW373" i="1"/>
  <c r="AW372" i="1"/>
  <c r="AW371" i="1"/>
  <c r="AW370" i="1"/>
  <c r="AW369" i="1"/>
  <c r="AW368" i="1"/>
  <c r="AW367" i="1"/>
  <c r="AW366" i="1"/>
  <c r="AW365" i="1"/>
  <c r="AW364" i="1"/>
  <c r="AW363" i="1"/>
  <c r="AW362" i="1"/>
  <c r="AW361" i="1"/>
  <c r="AW360" i="1"/>
  <c r="AW359" i="1"/>
  <c r="AW358" i="1"/>
  <c r="AW357" i="1"/>
  <c r="AW356" i="1"/>
  <c r="AW355" i="1"/>
  <c r="AW354" i="1"/>
  <c r="AW353" i="1"/>
  <c r="AW352" i="1"/>
  <c r="AW351" i="1"/>
  <c r="AW350" i="1"/>
  <c r="AW349" i="1"/>
  <c r="AW348" i="1"/>
  <c r="AW347" i="1"/>
  <c r="AW346" i="1"/>
  <c r="AW345" i="1"/>
  <c r="AW344" i="1"/>
  <c r="AW343" i="1"/>
  <c r="AW342" i="1"/>
  <c r="AW341" i="1"/>
  <c r="AW340" i="1"/>
  <c r="AW339" i="1"/>
  <c r="AW338" i="1"/>
  <c r="AW337" i="1"/>
  <c r="AW336" i="1"/>
  <c r="AW335" i="1"/>
  <c r="AW334" i="1"/>
  <c r="AW333" i="1"/>
  <c r="AW332" i="1"/>
  <c r="AW331" i="1"/>
  <c r="AW330" i="1"/>
  <c r="AW329" i="1"/>
  <c r="AW328" i="1"/>
  <c r="AW327" i="1"/>
  <c r="AW326" i="1"/>
  <c r="AW325" i="1"/>
  <c r="AW324" i="1"/>
  <c r="AW323" i="1"/>
  <c r="AW322" i="1"/>
  <c r="AW321" i="1"/>
  <c r="AW320" i="1"/>
  <c r="AW319" i="1"/>
  <c r="AW318" i="1"/>
  <c r="AW317" i="1"/>
  <c r="AW316" i="1"/>
  <c r="AW315" i="1"/>
  <c r="AW314" i="1"/>
  <c r="AW313" i="1"/>
  <c r="AW312" i="1"/>
  <c r="AW311" i="1"/>
  <c r="AW310" i="1"/>
  <c r="AW309" i="1"/>
  <c r="AW308" i="1"/>
  <c r="AW307" i="1"/>
  <c r="AW306" i="1"/>
  <c r="AW305" i="1"/>
  <c r="AW304" i="1"/>
  <c r="AW303" i="1"/>
  <c r="AW302" i="1"/>
  <c r="AW301" i="1"/>
  <c r="AW300" i="1"/>
  <c r="AW299" i="1"/>
  <c r="AW298" i="1"/>
  <c r="AW297" i="1"/>
  <c r="AW296" i="1"/>
  <c r="AW295" i="1"/>
  <c r="AW294" i="1"/>
  <c r="AW293" i="1"/>
  <c r="AW292" i="1"/>
  <c r="AW291" i="1"/>
  <c r="AW290" i="1"/>
  <c r="AW289" i="1"/>
  <c r="AW288" i="1"/>
  <c r="AW287" i="1"/>
  <c r="AW286" i="1"/>
  <c r="AW285" i="1"/>
  <c r="AW284" i="1"/>
  <c r="AW283" i="1"/>
  <c r="AW282" i="1"/>
  <c r="AW281" i="1"/>
  <c r="AW280" i="1"/>
  <c r="AW279" i="1"/>
  <c r="AW278" i="1"/>
  <c r="AW277" i="1"/>
  <c r="AW276" i="1"/>
  <c r="AW275" i="1"/>
  <c r="AW274" i="1"/>
  <c r="AW273" i="1"/>
  <c r="AW272" i="1"/>
  <c r="AW271" i="1"/>
  <c r="AW270" i="1"/>
  <c r="AW269" i="1"/>
  <c r="AW268" i="1"/>
  <c r="AW267" i="1"/>
  <c r="AW266" i="1"/>
  <c r="AW265" i="1"/>
  <c r="AW264" i="1"/>
  <c r="AW263" i="1"/>
  <c r="AW262" i="1"/>
  <c r="AW261" i="1"/>
  <c r="AW260" i="1"/>
  <c r="AW259" i="1"/>
  <c r="AW258" i="1"/>
  <c r="AW257" i="1"/>
  <c r="AW256" i="1"/>
  <c r="AW255" i="1"/>
  <c r="AW254" i="1"/>
  <c r="AW253" i="1"/>
  <c r="AW252" i="1"/>
  <c r="AW251" i="1"/>
  <c r="AW250" i="1"/>
  <c r="AW249" i="1"/>
  <c r="AW248" i="1"/>
  <c r="AW247" i="1"/>
  <c r="AW246" i="1"/>
  <c r="AW245" i="1"/>
  <c r="AW244" i="1"/>
  <c r="AW243" i="1"/>
  <c r="AW242" i="1"/>
  <c r="AW241" i="1"/>
  <c r="AW240" i="1"/>
  <c r="AW239" i="1"/>
  <c r="AW238" i="1"/>
  <c r="AW237" i="1"/>
  <c r="AW236" i="1"/>
  <c r="AW235" i="1"/>
  <c r="AW234" i="1"/>
  <c r="AW233" i="1"/>
  <c r="AW232" i="1"/>
  <c r="AW231" i="1"/>
  <c r="AW230" i="1"/>
  <c r="AW229" i="1"/>
  <c r="AW228" i="1"/>
  <c r="AW227" i="1"/>
  <c r="AW226" i="1"/>
  <c r="AW225" i="1"/>
  <c r="AW224" i="1"/>
  <c r="AW223" i="1"/>
  <c r="AW222" i="1"/>
  <c r="AW221" i="1"/>
  <c r="AW220" i="1"/>
  <c r="AW219" i="1"/>
  <c r="AW218" i="1"/>
  <c r="AW217" i="1"/>
  <c r="AW216" i="1"/>
  <c r="AW215" i="1"/>
  <c r="AW214" i="1"/>
  <c r="AW213" i="1"/>
  <c r="AW212" i="1"/>
  <c r="AW211" i="1"/>
  <c r="AW210" i="1"/>
  <c r="AW209" i="1"/>
  <c r="AW208" i="1"/>
  <c r="AW207" i="1"/>
  <c r="AW206" i="1"/>
  <c r="AW205" i="1"/>
  <c r="AW204" i="1"/>
  <c r="AW203" i="1"/>
  <c r="AW202" i="1"/>
  <c r="AW201" i="1"/>
  <c r="AW200" i="1"/>
  <c r="AW199" i="1"/>
  <c r="AW198" i="1"/>
  <c r="AW197" i="1"/>
  <c r="AW196" i="1"/>
  <c r="AW195" i="1"/>
  <c r="AW194" i="1"/>
  <c r="AW193" i="1"/>
  <c r="AW192" i="1"/>
  <c r="AW191" i="1"/>
  <c r="AW190" i="1"/>
  <c r="AW189" i="1"/>
  <c r="AW188" i="1"/>
  <c r="AW187" i="1"/>
  <c r="AW186" i="1"/>
  <c r="AW185" i="1"/>
  <c r="AW184" i="1"/>
  <c r="AW183" i="1"/>
  <c r="AW182" i="1"/>
  <c r="AW181" i="1"/>
  <c r="AW180" i="1"/>
  <c r="AW179" i="1"/>
  <c r="AW178" i="1"/>
  <c r="AW177" i="1"/>
  <c r="AW176" i="1"/>
  <c r="AW175" i="1"/>
  <c r="AW174" i="1"/>
  <c r="AW173" i="1"/>
  <c r="AW172" i="1"/>
  <c r="AW171" i="1"/>
  <c r="AW170" i="1"/>
  <c r="AW169" i="1"/>
  <c r="AW168" i="1"/>
  <c r="AW167" i="1"/>
  <c r="AW166" i="1"/>
  <c r="AW165" i="1"/>
  <c r="AW164" i="1"/>
  <c r="AW163" i="1"/>
  <c r="AW162" i="1"/>
  <c r="AW161" i="1"/>
  <c r="AW160" i="1"/>
  <c r="AW159" i="1"/>
  <c r="AW158" i="1"/>
  <c r="AW157" i="1"/>
  <c r="AW156" i="1"/>
  <c r="AW155" i="1"/>
  <c r="AW154" i="1"/>
  <c r="AW153" i="1"/>
  <c r="AW152" i="1"/>
  <c r="AW151" i="1"/>
  <c r="AW150" i="1"/>
  <c r="AW149" i="1"/>
  <c r="AW148" i="1"/>
  <c r="AW147" i="1"/>
  <c r="AW146" i="1"/>
  <c r="AW145" i="1"/>
  <c r="AW144" i="1"/>
  <c r="AW143" i="1"/>
  <c r="AW142" i="1"/>
  <c r="AW141" i="1"/>
  <c r="AW140" i="1"/>
  <c r="AW139" i="1"/>
  <c r="AW138" i="1"/>
  <c r="AW137" i="1"/>
  <c r="AW136" i="1"/>
  <c r="AW135" i="1"/>
  <c r="AW134" i="1"/>
  <c r="AW133" i="1"/>
  <c r="AW132" i="1"/>
  <c r="AW131" i="1"/>
  <c r="AW130" i="1"/>
  <c r="AW129" i="1"/>
  <c r="AW128" i="1"/>
  <c r="AW127" i="1"/>
  <c r="AW126" i="1"/>
  <c r="AW125" i="1"/>
  <c r="AW124" i="1"/>
  <c r="AW123" i="1"/>
  <c r="AW122" i="1"/>
  <c r="AW121" i="1"/>
  <c r="AW120" i="1"/>
  <c r="AW119" i="1"/>
  <c r="AW118" i="1"/>
  <c r="AW117" i="1"/>
  <c r="AW116" i="1"/>
  <c r="AW115" i="1"/>
  <c r="AW114" i="1"/>
  <c r="AW113" i="1"/>
  <c r="AW112" i="1"/>
  <c r="AW111" i="1"/>
  <c r="AW110" i="1"/>
  <c r="AW109" i="1"/>
  <c r="AW108" i="1"/>
  <c r="AW107" i="1"/>
  <c r="AW106" i="1"/>
  <c r="AW105" i="1"/>
  <c r="AW104" i="1"/>
  <c r="AW103" i="1"/>
  <c r="AW102" i="1"/>
  <c r="AW101" i="1"/>
  <c r="AW100" i="1"/>
  <c r="AW99" i="1"/>
  <c r="AW98" i="1"/>
  <c r="AW97" i="1"/>
  <c r="AW96" i="1"/>
  <c r="AW95" i="1"/>
  <c r="AW94" i="1"/>
  <c r="AW93" i="1"/>
  <c r="AW92" i="1"/>
  <c r="AW91" i="1"/>
  <c r="AW90" i="1"/>
  <c r="AW89" i="1"/>
  <c r="AW88" i="1"/>
  <c r="AW87" i="1"/>
  <c r="AW86" i="1"/>
  <c r="AW85" i="1"/>
  <c r="AW84" i="1"/>
  <c r="AW83" i="1"/>
  <c r="AW82" i="1"/>
  <c r="AW81" i="1"/>
  <c r="AW80" i="1"/>
  <c r="AW79" i="1"/>
  <c r="AW78" i="1"/>
  <c r="AW77" i="1"/>
  <c r="AW76" i="1"/>
  <c r="AW75" i="1"/>
  <c r="AW74" i="1"/>
  <c r="AW73" i="1"/>
  <c r="AW72" i="1"/>
  <c r="AW71" i="1"/>
  <c r="AW70" i="1"/>
  <c r="AW69" i="1"/>
  <c r="AW68" i="1"/>
  <c r="AW67" i="1"/>
  <c r="AW66" i="1"/>
  <c r="AW65" i="1"/>
  <c r="AW64" i="1"/>
  <c r="AW63" i="1"/>
  <c r="AW62" i="1"/>
  <c r="AW61" i="1"/>
  <c r="AW60" i="1"/>
  <c r="AW59" i="1"/>
  <c r="AW58" i="1"/>
  <c r="AW57" i="1"/>
  <c r="AW56" i="1"/>
  <c r="AW55" i="1"/>
  <c r="AW54" i="1"/>
  <c r="AW53" i="1"/>
  <c r="AW52" i="1"/>
  <c r="AW51" i="1"/>
  <c r="AW50" i="1"/>
  <c r="AW49" i="1"/>
  <c r="AW48" i="1"/>
  <c r="AW47" i="1"/>
  <c r="AW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S375" i="1"/>
  <c r="AS374" i="1"/>
  <c r="AS373" i="1"/>
  <c r="AS372" i="1"/>
  <c r="AS371" i="1"/>
  <c r="AS370" i="1"/>
  <c r="AS369" i="1"/>
  <c r="AS368" i="1"/>
  <c r="AS367" i="1"/>
  <c r="AS366" i="1"/>
  <c r="AS365" i="1"/>
  <c r="AS364" i="1"/>
  <c r="AS363" i="1"/>
  <c r="AS362" i="1"/>
  <c r="AS361" i="1"/>
  <c r="AS360" i="1"/>
  <c r="AS359" i="1"/>
  <c r="AS358" i="1"/>
  <c r="AS357" i="1"/>
  <c r="AS356" i="1"/>
  <c r="AS355" i="1"/>
  <c r="AS354" i="1"/>
  <c r="AS353" i="1"/>
  <c r="AS352" i="1"/>
  <c r="AS351" i="1"/>
  <c r="AS350" i="1"/>
  <c r="AS349" i="1"/>
  <c r="AS348" i="1"/>
  <c r="AS347" i="1"/>
  <c r="AS346" i="1"/>
  <c r="AS345" i="1"/>
  <c r="AS344" i="1"/>
  <c r="AS343" i="1"/>
  <c r="AS342" i="1"/>
  <c r="AS341" i="1"/>
  <c r="AS340" i="1"/>
  <c r="AS339" i="1"/>
  <c r="AS338" i="1"/>
  <c r="AS337" i="1"/>
  <c r="AS336" i="1"/>
  <c r="AS335" i="1"/>
  <c r="AS334" i="1"/>
  <c r="AS333" i="1"/>
  <c r="AS332" i="1"/>
  <c r="AS331" i="1"/>
  <c r="AS330" i="1"/>
  <c r="AS329" i="1"/>
  <c r="AS328" i="1"/>
  <c r="AS327" i="1"/>
  <c r="AS326" i="1"/>
  <c r="AS325" i="1"/>
  <c r="AS324" i="1"/>
  <c r="AS323" i="1"/>
  <c r="AS322" i="1"/>
  <c r="AS321" i="1"/>
  <c r="AS320" i="1"/>
  <c r="AS319" i="1"/>
  <c r="AS318" i="1"/>
  <c r="AS317" i="1"/>
  <c r="AS316" i="1"/>
  <c r="AS315" i="1"/>
  <c r="AS314" i="1"/>
  <c r="AS313" i="1"/>
  <c r="AS312" i="1"/>
  <c r="AS311" i="1"/>
  <c r="AS310" i="1"/>
  <c r="AS309" i="1"/>
  <c r="AS308" i="1"/>
  <c r="AS307" i="1"/>
  <c r="AS306" i="1"/>
  <c r="AS305" i="1"/>
  <c r="AS304" i="1"/>
  <c r="AS303" i="1"/>
  <c r="AS302" i="1"/>
  <c r="AS301" i="1"/>
  <c r="AS300" i="1"/>
  <c r="AS299" i="1"/>
  <c r="AS298" i="1"/>
  <c r="AS297" i="1"/>
  <c r="AS296" i="1"/>
  <c r="AS295" i="1"/>
  <c r="AS294" i="1"/>
  <c r="AS293" i="1"/>
  <c r="AS292" i="1"/>
  <c r="AS291" i="1"/>
  <c r="AS290" i="1"/>
  <c r="AS289" i="1"/>
  <c r="AS288" i="1"/>
  <c r="AS287" i="1"/>
  <c r="AS286" i="1"/>
  <c r="AS285" i="1"/>
  <c r="AS284" i="1"/>
  <c r="AS283" i="1"/>
  <c r="AS282" i="1"/>
  <c r="AS281" i="1"/>
  <c r="AS280" i="1"/>
  <c r="AS279" i="1"/>
  <c r="AS278" i="1"/>
  <c r="AS277" i="1"/>
  <c r="AS276" i="1"/>
  <c r="AS275" i="1"/>
  <c r="AS274" i="1"/>
  <c r="AS273" i="1"/>
  <c r="AS272" i="1"/>
  <c r="AS271" i="1"/>
  <c r="AS270" i="1"/>
  <c r="AS269" i="1"/>
  <c r="AS268" i="1"/>
  <c r="AS267" i="1"/>
  <c r="AS266" i="1"/>
  <c r="AS265" i="1"/>
  <c r="AS264" i="1"/>
  <c r="AS263" i="1"/>
  <c r="AS262" i="1"/>
  <c r="AS261" i="1"/>
  <c r="AS260" i="1"/>
  <c r="AS259" i="1"/>
  <c r="AS258" i="1"/>
  <c r="AS257" i="1"/>
  <c r="AS256" i="1"/>
  <c r="AS255" i="1"/>
  <c r="AS254" i="1"/>
  <c r="AS253" i="1"/>
  <c r="AS252" i="1"/>
  <c r="AS251" i="1"/>
  <c r="AS250" i="1"/>
  <c r="AS249" i="1"/>
  <c r="AS248" i="1"/>
  <c r="AS247" i="1"/>
  <c r="AS246" i="1"/>
  <c r="AS245" i="1"/>
  <c r="AS244" i="1"/>
  <c r="AS243" i="1"/>
  <c r="AS242" i="1"/>
  <c r="AS241" i="1"/>
  <c r="AS240" i="1"/>
  <c r="AS239" i="1"/>
  <c r="AS238" i="1"/>
  <c r="AS237" i="1"/>
  <c r="AS236" i="1"/>
  <c r="AS235" i="1"/>
  <c r="AS234" i="1"/>
  <c r="AS233" i="1"/>
  <c r="AS232" i="1"/>
  <c r="AS231" i="1"/>
  <c r="AS230" i="1"/>
  <c r="AS229" i="1"/>
  <c r="AS228" i="1"/>
  <c r="AS227" i="1"/>
  <c r="AS226" i="1"/>
  <c r="AS225" i="1"/>
  <c r="AS224" i="1"/>
  <c r="AS223" i="1"/>
  <c r="AS222" i="1"/>
  <c r="AS221" i="1"/>
  <c r="AS220" i="1"/>
  <c r="AS219" i="1"/>
  <c r="AS218" i="1"/>
  <c r="AS217" i="1"/>
  <c r="AS216" i="1"/>
  <c r="AS215" i="1"/>
  <c r="AS214" i="1"/>
  <c r="AS213" i="1"/>
  <c r="AS212" i="1"/>
  <c r="AS211" i="1"/>
  <c r="AS210" i="1"/>
  <c r="AS209" i="1"/>
  <c r="AS208" i="1"/>
  <c r="AS207" i="1"/>
  <c r="AS206" i="1"/>
  <c r="AS205" i="1"/>
  <c r="AS204" i="1"/>
  <c r="AS203" i="1"/>
  <c r="AS202" i="1"/>
  <c r="AS201" i="1"/>
  <c r="AS200" i="1"/>
  <c r="AS199" i="1"/>
  <c r="AS198" i="1"/>
  <c r="AS197" i="1"/>
  <c r="AS196" i="1"/>
  <c r="AS195" i="1"/>
  <c r="AS194" i="1"/>
  <c r="AS193" i="1"/>
  <c r="AS192" i="1"/>
  <c r="AS191" i="1"/>
  <c r="AS190" i="1"/>
  <c r="AS189" i="1"/>
  <c r="AS188" i="1"/>
  <c r="AS187" i="1"/>
  <c r="AS186" i="1"/>
  <c r="AS185" i="1"/>
  <c r="AS184" i="1"/>
  <c r="AS183" i="1"/>
  <c r="AS182" i="1"/>
  <c r="AS181" i="1"/>
  <c r="AS180" i="1"/>
  <c r="AS179" i="1"/>
  <c r="AS178" i="1"/>
  <c r="AS177" i="1"/>
  <c r="AS176" i="1"/>
  <c r="AS175" i="1"/>
  <c r="AS174" i="1"/>
  <c r="AS173" i="1"/>
  <c r="AS172" i="1"/>
  <c r="AS171" i="1"/>
  <c r="AS170" i="1"/>
  <c r="AS169" i="1"/>
  <c r="AS168" i="1"/>
  <c r="AS167" i="1"/>
  <c r="AS166" i="1"/>
  <c r="AS165" i="1"/>
  <c r="AS164" i="1"/>
  <c r="AS163" i="1"/>
  <c r="AS162" i="1"/>
  <c r="AS161" i="1"/>
  <c r="AS160" i="1"/>
  <c r="AS159" i="1"/>
  <c r="AS158" i="1"/>
  <c r="AS157" i="1"/>
  <c r="AS156" i="1"/>
  <c r="AS155" i="1"/>
  <c r="AS154" i="1"/>
  <c r="AS153" i="1"/>
  <c r="AS152" i="1"/>
  <c r="AS151" i="1"/>
  <c r="AS150" i="1"/>
  <c r="AS149" i="1"/>
  <c r="AS148" i="1"/>
  <c r="AS147" i="1"/>
  <c r="AS146" i="1"/>
  <c r="AS145" i="1"/>
  <c r="AS144" i="1"/>
  <c r="AS143" i="1"/>
  <c r="AS142" i="1"/>
  <c r="AS141" i="1"/>
  <c r="AS140" i="1"/>
  <c r="AS139" i="1"/>
  <c r="AS138" i="1"/>
  <c r="AS137" i="1"/>
  <c r="AS136" i="1"/>
  <c r="AS135" i="1"/>
  <c r="AS134" i="1"/>
  <c r="AS133" i="1"/>
  <c r="AS132" i="1"/>
  <c r="AS131" i="1"/>
  <c r="AS130" i="1"/>
  <c r="AS129" i="1"/>
  <c r="AS128" i="1"/>
  <c r="AS127" i="1"/>
  <c r="AS126" i="1"/>
  <c r="AS125" i="1"/>
  <c r="AS124" i="1"/>
  <c r="AS123" i="1"/>
  <c r="AS122" i="1"/>
  <c r="AS121" i="1"/>
  <c r="AS120" i="1"/>
  <c r="AS119" i="1"/>
  <c r="AS118" i="1"/>
  <c r="AS117" i="1"/>
  <c r="AS116" i="1"/>
  <c r="AS115" i="1"/>
  <c r="AS114" i="1"/>
  <c r="AS113" i="1"/>
  <c r="AS112" i="1"/>
  <c r="AS111" i="1"/>
  <c r="AS110" i="1"/>
  <c r="AS109" i="1"/>
  <c r="AS108" i="1"/>
  <c r="AS107" i="1"/>
  <c r="AS106" i="1"/>
  <c r="AS105" i="1"/>
  <c r="AS104" i="1"/>
  <c r="AS103" i="1"/>
  <c r="AS102" i="1"/>
  <c r="AS101" i="1"/>
  <c r="AS100" i="1"/>
  <c r="AS99" i="1"/>
  <c r="AS98" i="1"/>
  <c r="AS97" i="1"/>
  <c r="AS96" i="1"/>
  <c r="AS95" i="1"/>
  <c r="AS94" i="1"/>
  <c r="AS93" i="1"/>
  <c r="AS92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71" i="1"/>
  <c r="AS70" i="1"/>
  <c r="AS69" i="1"/>
  <c r="AS68" i="1"/>
  <c r="AS67" i="1"/>
  <c r="AS66" i="1"/>
  <c r="AS65" i="1"/>
  <c r="AS64" i="1"/>
  <c r="AS63" i="1"/>
  <c r="AS62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Q375" i="1"/>
  <c r="AQ374" i="1"/>
  <c r="AQ373" i="1"/>
  <c r="AQ372" i="1"/>
  <c r="AQ371" i="1"/>
  <c r="AQ370" i="1"/>
  <c r="AQ369" i="1"/>
  <c r="AQ368" i="1"/>
  <c r="AQ367" i="1"/>
  <c r="AQ366" i="1"/>
  <c r="AQ365" i="1"/>
  <c r="AQ364" i="1"/>
  <c r="AQ363" i="1"/>
  <c r="AQ362" i="1"/>
  <c r="AQ361" i="1"/>
  <c r="AQ360" i="1"/>
  <c r="AQ359" i="1"/>
  <c r="AQ358" i="1"/>
  <c r="AQ357" i="1"/>
  <c r="AQ356" i="1"/>
  <c r="AQ355" i="1"/>
  <c r="AQ354" i="1"/>
  <c r="AQ353" i="1"/>
  <c r="AQ352" i="1"/>
  <c r="AQ351" i="1"/>
  <c r="AQ350" i="1"/>
  <c r="AQ349" i="1"/>
  <c r="AQ348" i="1"/>
  <c r="AQ347" i="1"/>
  <c r="AQ346" i="1"/>
  <c r="AQ345" i="1"/>
  <c r="AQ344" i="1"/>
  <c r="AQ343" i="1"/>
  <c r="AQ342" i="1"/>
  <c r="AQ341" i="1"/>
  <c r="AQ340" i="1"/>
  <c r="AQ339" i="1"/>
  <c r="AQ338" i="1"/>
  <c r="AQ337" i="1"/>
  <c r="AQ336" i="1"/>
  <c r="AQ335" i="1"/>
  <c r="AQ334" i="1"/>
  <c r="AQ333" i="1"/>
  <c r="AQ332" i="1"/>
  <c r="AQ331" i="1"/>
  <c r="AQ330" i="1"/>
  <c r="AQ329" i="1"/>
  <c r="AQ328" i="1"/>
  <c r="AQ327" i="1"/>
  <c r="AQ326" i="1"/>
  <c r="AQ325" i="1"/>
  <c r="AQ324" i="1"/>
  <c r="AQ323" i="1"/>
  <c r="AQ322" i="1"/>
  <c r="AQ321" i="1"/>
  <c r="AQ320" i="1"/>
  <c r="AQ319" i="1"/>
  <c r="AQ318" i="1"/>
  <c r="AQ317" i="1"/>
  <c r="AQ316" i="1"/>
  <c r="AQ315" i="1"/>
  <c r="AQ314" i="1"/>
  <c r="AQ313" i="1"/>
  <c r="AQ312" i="1"/>
  <c r="AQ311" i="1"/>
  <c r="AQ310" i="1"/>
  <c r="AQ309" i="1"/>
  <c r="AQ308" i="1"/>
  <c r="AQ307" i="1"/>
  <c r="AQ306" i="1"/>
  <c r="AQ305" i="1"/>
  <c r="AQ304" i="1"/>
  <c r="AQ303" i="1"/>
  <c r="AQ302" i="1"/>
  <c r="AQ301" i="1"/>
  <c r="AQ300" i="1"/>
  <c r="AQ299" i="1"/>
  <c r="AQ298" i="1"/>
  <c r="AQ297" i="1"/>
  <c r="AQ296" i="1"/>
  <c r="AQ295" i="1"/>
  <c r="AQ294" i="1"/>
  <c r="AQ293" i="1"/>
  <c r="AQ292" i="1"/>
  <c r="AQ291" i="1"/>
  <c r="AQ290" i="1"/>
  <c r="AQ289" i="1"/>
  <c r="AQ288" i="1"/>
  <c r="AQ287" i="1"/>
  <c r="AQ286" i="1"/>
  <c r="AQ285" i="1"/>
  <c r="AQ284" i="1"/>
  <c r="AQ283" i="1"/>
  <c r="AQ282" i="1"/>
  <c r="AQ281" i="1"/>
  <c r="AQ280" i="1"/>
  <c r="AQ279" i="1"/>
  <c r="AQ278" i="1"/>
  <c r="AQ277" i="1"/>
  <c r="AQ276" i="1"/>
  <c r="AQ275" i="1"/>
  <c r="AQ274" i="1"/>
  <c r="AQ273" i="1"/>
  <c r="AQ272" i="1"/>
  <c r="AQ271" i="1"/>
  <c r="AQ270" i="1"/>
  <c r="AQ269" i="1"/>
  <c r="AQ268" i="1"/>
  <c r="AQ267" i="1"/>
  <c r="AQ266" i="1"/>
  <c r="AQ265" i="1"/>
  <c r="AQ264" i="1"/>
  <c r="AQ263" i="1"/>
  <c r="AQ262" i="1"/>
  <c r="AQ261" i="1"/>
  <c r="AQ260" i="1"/>
  <c r="AQ259" i="1"/>
  <c r="AQ258" i="1"/>
  <c r="AQ257" i="1"/>
  <c r="AQ256" i="1"/>
  <c r="AQ255" i="1"/>
  <c r="AQ254" i="1"/>
  <c r="AQ253" i="1"/>
  <c r="AQ252" i="1"/>
  <c r="AQ251" i="1"/>
  <c r="AQ250" i="1"/>
  <c r="AQ249" i="1"/>
  <c r="AQ248" i="1"/>
  <c r="AQ247" i="1"/>
  <c r="AQ246" i="1"/>
  <c r="AQ245" i="1"/>
  <c r="AQ244" i="1"/>
  <c r="AQ243" i="1"/>
  <c r="AQ242" i="1"/>
  <c r="AQ241" i="1"/>
  <c r="AQ240" i="1"/>
  <c r="AQ239" i="1"/>
  <c r="AQ238" i="1"/>
  <c r="AQ237" i="1"/>
  <c r="AQ236" i="1"/>
  <c r="AQ235" i="1"/>
  <c r="AQ234" i="1"/>
  <c r="AQ233" i="1"/>
  <c r="AQ232" i="1"/>
  <c r="AQ231" i="1"/>
  <c r="AQ230" i="1"/>
  <c r="AQ229" i="1"/>
  <c r="AQ228" i="1"/>
  <c r="AQ227" i="1"/>
  <c r="AQ226" i="1"/>
  <c r="AQ225" i="1"/>
  <c r="AQ224" i="1"/>
  <c r="AQ223" i="1"/>
  <c r="AQ222" i="1"/>
  <c r="AQ221" i="1"/>
  <c r="AQ220" i="1"/>
  <c r="AQ219" i="1"/>
  <c r="AQ218" i="1"/>
  <c r="AQ217" i="1"/>
  <c r="AQ216" i="1"/>
  <c r="AQ215" i="1"/>
  <c r="AQ214" i="1"/>
  <c r="AQ213" i="1"/>
  <c r="AQ212" i="1"/>
  <c r="AQ211" i="1"/>
  <c r="AQ210" i="1"/>
  <c r="AQ209" i="1"/>
  <c r="AQ208" i="1"/>
  <c r="AQ207" i="1"/>
  <c r="AQ206" i="1"/>
  <c r="AQ205" i="1"/>
  <c r="AQ204" i="1"/>
  <c r="AQ203" i="1"/>
  <c r="AQ202" i="1"/>
  <c r="AQ201" i="1"/>
  <c r="AQ200" i="1"/>
  <c r="AQ199" i="1"/>
  <c r="AQ198" i="1"/>
  <c r="AQ197" i="1"/>
  <c r="AQ196" i="1"/>
  <c r="AQ195" i="1"/>
  <c r="AQ194" i="1"/>
  <c r="AQ193" i="1"/>
  <c r="AQ192" i="1"/>
  <c r="AQ191" i="1"/>
  <c r="AQ190" i="1"/>
  <c r="AQ189" i="1"/>
  <c r="AQ188" i="1"/>
  <c r="AQ187" i="1"/>
  <c r="AQ186" i="1"/>
  <c r="AQ185" i="1"/>
  <c r="AQ184" i="1"/>
  <c r="AQ183" i="1"/>
  <c r="AQ182" i="1"/>
  <c r="AQ181" i="1"/>
  <c r="AQ180" i="1"/>
  <c r="AQ179" i="1"/>
  <c r="AQ178" i="1"/>
  <c r="AQ177" i="1"/>
  <c r="AQ176" i="1"/>
  <c r="AQ175" i="1"/>
  <c r="AQ174" i="1"/>
  <c r="AQ173" i="1"/>
  <c r="AQ172" i="1"/>
  <c r="AQ171" i="1"/>
  <c r="AQ170" i="1"/>
  <c r="AQ169" i="1"/>
  <c r="AQ168" i="1"/>
  <c r="AQ167" i="1"/>
  <c r="AQ166" i="1"/>
  <c r="AQ165" i="1"/>
  <c r="AQ164" i="1"/>
  <c r="AQ163" i="1"/>
  <c r="AQ162" i="1"/>
  <c r="AQ161" i="1"/>
  <c r="AQ160" i="1"/>
  <c r="AQ159" i="1"/>
  <c r="AQ158" i="1"/>
  <c r="AQ157" i="1"/>
  <c r="AQ156" i="1"/>
  <c r="AQ155" i="1"/>
  <c r="AQ154" i="1"/>
  <c r="AQ153" i="1"/>
  <c r="AQ152" i="1"/>
  <c r="AQ151" i="1"/>
  <c r="AQ150" i="1"/>
  <c r="AQ149" i="1"/>
  <c r="AQ148" i="1"/>
  <c r="AQ147" i="1"/>
  <c r="AQ146" i="1"/>
  <c r="AQ145" i="1"/>
  <c r="AQ144" i="1"/>
  <c r="AQ143" i="1"/>
  <c r="AQ142" i="1"/>
  <c r="AQ141" i="1"/>
  <c r="AQ140" i="1"/>
  <c r="AQ139" i="1"/>
  <c r="AQ138" i="1"/>
  <c r="AQ137" i="1"/>
  <c r="AQ136" i="1"/>
  <c r="AQ135" i="1"/>
  <c r="AQ134" i="1"/>
  <c r="AQ133" i="1"/>
  <c r="AQ132" i="1"/>
  <c r="AQ131" i="1"/>
  <c r="AQ130" i="1"/>
  <c r="AQ129" i="1"/>
  <c r="AQ128" i="1"/>
  <c r="AQ127" i="1"/>
  <c r="AQ126" i="1"/>
  <c r="AQ125" i="1"/>
  <c r="AQ124" i="1"/>
  <c r="AQ123" i="1"/>
  <c r="AQ122" i="1"/>
  <c r="AQ121" i="1"/>
  <c r="AQ120" i="1"/>
  <c r="AQ119" i="1"/>
  <c r="AQ118" i="1"/>
  <c r="AQ117" i="1"/>
  <c r="AQ116" i="1"/>
  <c r="AQ115" i="1"/>
  <c r="AQ114" i="1"/>
  <c r="AQ113" i="1"/>
  <c r="AQ112" i="1"/>
  <c r="AQ111" i="1"/>
  <c r="AQ110" i="1"/>
  <c r="AQ109" i="1"/>
  <c r="AQ108" i="1"/>
  <c r="AQ107" i="1"/>
  <c r="AQ106" i="1"/>
  <c r="AQ105" i="1"/>
  <c r="AQ104" i="1"/>
  <c r="AQ103" i="1"/>
  <c r="AQ102" i="1"/>
  <c r="AQ101" i="1"/>
  <c r="AQ100" i="1"/>
  <c r="AQ99" i="1"/>
  <c r="AQ98" i="1"/>
  <c r="AQ97" i="1"/>
  <c r="AQ96" i="1"/>
  <c r="AQ95" i="1"/>
  <c r="AQ94" i="1"/>
  <c r="AQ93" i="1"/>
  <c r="AQ92" i="1"/>
  <c r="AQ91" i="1"/>
  <c r="AQ90" i="1"/>
  <c r="AQ89" i="1"/>
  <c r="AQ88" i="1"/>
  <c r="AQ87" i="1"/>
  <c r="AQ86" i="1"/>
  <c r="AQ85" i="1"/>
  <c r="AQ84" i="1"/>
  <c r="AQ83" i="1"/>
  <c r="AQ82" i="1"/>
  <c r="AQ81" i="1"/>
  <c r="AQ80" i="1"/>
  <c r="AQ79" i="1"/>
  <c r="AQ78" i="1"/>
  <c r="AQ77" i="1"/>
  <c r="AQ76" i="1"/>
  <c r="AQ75" i="1"/>
  <c r="AQ74" i="1"/>
  <c r="AQ73" i="1"/>
  <c r="AQ72" i="1"/>
  <c r="AQ71" i="1"/>
  <c r="AQ70" i="1"/>
  <c r="AQ69" i="1"/>
  <c r="AQ68" i="1"/>
  <c r="AQ67" i="1"/>
  <c r="AQ66" i="1"/>
  <c r="AQ65" i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O375" i="1"/>
  <c r="AO374" i="1"/>
  <c r="AO373" i="1"/>
  <c r="AO372" i="1"/>
  <c r="AO371" i="1"/>
  <c r="AO370" i="1"/>
  <c r="AO369" i="1"/>
  <c r="AO368" i="1"/>
  <c r="AO367" i="1"/>
  <c r="AO366" i="1"/>
  <c r="AO365" i="1"/>
  <c r="AO364" i="1"/>
  <c r="AO363" i="1"/>
  <c r="AO362" i="1"/>
  <c r="AO361" i="1"/>
  <c r="AO360" i="1"/>
  <c r="AO359" i="1"/>
  <c r="AO358" i="1"/>
  <c r="AO357" i="1"/>
  <c r="AO356" i="1"/>
  <c r="AO355" i="1"/>
  <c r="AO354" i="1"/>
  <c r="AO353" i="1"/>
  <c r="AO352" i="1"/>
  <c r="AO351" i="1"/>
  <c r="AO350" i="1"/>
  <c r="AO349" i="1"/>
  <c r="AO348" i="1"/>
  <c r="AO347" i="1"/>
  <c r="AO346" i="1"/>
  <c r="AO345" i="1"/>
  <c r="AO344" i="1"/>
  <c r="AO343" i="1"/>
  <c r="AO342" i="1"/>
  <c r="AO341" i="1"/>
  <c r="AO340" i="1"/>
  <c r="AO339" i="1"/>
  <c r="AO338" i="1"/>
  <c r="AO337" i="1"/>
  <c r="AO336" i="1"/>
  <c r="AO335" i="1"/>
  <c r="AO334" i="1"/>
  <c r="AO333" i="1"/>
  <c r="AO332" i="1"/>
  <c r="AO331" i="1"/>
  <c r="AO330" i="1"/>
  <c r="AO329" i="1"/>
  <c r="AO328" i="1"/>
  <c r="AO327" i="1"/>
  <c r="AO326" i="1"/>
  <c r="AO325" i="1"/>
  <c r="AO324" i="1"/>
  <c r="AO323" i="1"/>
  <c r="AO322" i="1"/>
  <c r="AO321" i="1"/>
  <c r="AO320" i="1"/>
  <c r="AO319" i="1"/>
  <c r="AO318" i="1"/>
  <c r="AO317" i="1"/>
  <c r="AO316" i="1"/>
  <c r="AO315" i="1"/>
  <c r="AO314" i="1"/>
  <c r="AO313" i="1"/>
  <c r="AO312" i="1"/>
  <c r="AO311" i="1"/>
  <c r="AO310" i="1"/>
  <c r="AO309" i="1"/>
  <c r="AO308" i="1"/>
  <c r="AO307" i="1"/>
  <c r="AO306" i="1"/>
  <c r="AO305" i="1"/>
  <c r="AO304" i="1"/>
  <c r="AO303" i="1"/>
  <c r="AO302" i="1"/>
  <c r="AO301" i="1"/>
  <c r="AO300" i="1"/>
  <c r="AO299" i="1"/>
  <c r="AO298" i="1"/>
  <c r="AO297" i="1"/>
  <c r="AO296" i="1"/>
  <c r="AO295" i="1"/>
  <c r="AO294" i="1"/>
  <c r="AO293" i="1"/>
  <c r="AO292" i="1"/>
  <c r="AO291" i="1"/>
  <c r="AO290" i="1"/>
  <c r="AO289" i="1"/>
  <c r="AO288" i="1"/>
  <c r="AO287" i="1"/>
  <c r="AO286" i="1"/>
  <c r="AO285" i="1"/>
  <c r="AO284" i="1"/>
  <c r="AO283" i="1"/>
  <c r="AO282" i="1"/>
  <c r="AO281" i="1"/>
  <c r="AO280" i="1"/>
  <c r="AO279" i="1"/>
  <c r="AO278" i="1"/>
  <c r="AO277" i="1"/>
  <c r="AO276" i="1"/>
  <c r="AO275" i="1"/>
  <c r="AO274" i="1"/>
  <c r="AO273" i="1"/>
  <c r="AO272" i="1"/>
  <c r="AO271" i="1"/>
  <c r="AO270" i="1"/>
  <c r="AO269" i="1"/>
  <c r="AO268" i="1"/>
  <c r="AO267" i="1"/>
  <c r="AO266" i="1"/>
  <c r="AO265" i="1"/>
  <c r="AO264" i="1"/>
  <c r="AO263" i="1"/>
  <c r="AO262" i="1"/>
  <c r="AO261" i="1"/>
  <c r="AO260" i="1"/>
  <c r="AO259" i="1"/>
  <c r="AO258" i="1"/>
  <c r="AO257" i="1"/>
  <c r="AO256" i="1"/>
  <c r="AO255" i="1"/>
  <c r="AO254" i="1"/>
  <c r="AO253" i="1"/>
  <c r="AO252" i="1"/>
  <c r="AO251" i="1"/>
  <c r="AO250" i="1"/>
  <c r="AO249" i="1"/>
  <c r="AO248" i="1"/>
  <c r="AO247" i="1"/>
  <c r="AO246" i="1"/>
  <c r="AO245" i="1"/>
  <c r="AO244" i="1"/>
  <c r="AO243" i="1"/>
  <c r="AO242" i="1"/>
  <c r="AO241" i="1"/>
  <c r="AO240" i="1"/>
  <c r="AO239" i="1"/>
  <c r="AO238" i="1"/>
  <c r="AO237" i="1"/>
  <c r="AO236" i="1"/>
  <c r="AO235" i="1"/>
  <c r="AO234" i="1"/>
  <c r="AO233" i="1"/>
  <c r="AO232" i="1"/>
  <c r="AO231" i="1"/>
  <c r="AO230" i="1"/>
  <c r="AO229" i="1"/>
  <c r="AO228" i="1"/>
  <c r="AO227" i="1"/>
  <c r="AO226" i="1"/>
  <c r="AO225" i="1"/>
  <c r="AO224" i="1"/>
  <c r="AO223" i="1"/>
  <c r="AO222" i="1"/>
  <c r="AO221" i="1"/>
  <c r="AO220" i="1"/>
  <c r="AO219" i="1"/>
  <c r="AO218" i="1"/>
  <c r="AO217" i="1"/>
  <c r="AO216" i="1"/>
  <c r="AO215" i="1"/>
  <c r="AO214" i="1"/>
  <c r="AO213" i="1"/>
  <c r="AO212" i="1"/>
  <c r="AO211" i="1"/>
  <c r="AO210" i="1"/>
  <c r="AO209" i="1"/>
  <c r="AO208" i="1"/>
  <c r="AO207" i="1"/>
  <c r="AO206" i="1"/>
  <c r="AO205" i="1"/>
  <c r="AO204" i="1"/>
  <c r="AO203" i="1"/>
  <c r="AO202" i="1"/>
  <c r="AO201" i="1"/>
  <c r="AO200" i="1"/>
  <c r="AO199" i="1"/>
  <c r="AO198" i="1"/>
  <c r="AO197" i="1"/>
  <c r="AO196" i="1"/>
  <c r="AO195" i="1"/>
  <c r="AO194" i="1"/>
  <c r="AO193" i="1"/>
  <c r="AO192" i="1"/>
  <c r="AO191" i="1"/>
  <c r="AO190" i="1"/>
  <c r="AO189" i="1"/>
  <c r="AO188" i="1"/>
  <c r="AO187" i="1"/>
  <c r="AO186" i="1"/>
  <c r="AO185" i="1"/>
  <c r="AO184" i="1"/>
  <c r="AO183" i="1"/>
  <c r="AO182" i="1"/>
  <c r="AO181" i="1"/>
  <c r="AO180" i="1"/>
  <c r="AO179" i="1"/>
  <c r="AO178" i="1"/>
  <c r="AO177" i="1"/>
  <c r="AO176" i="1"/>
  <c r="AO175" i="1"/>
  <c r="AO174" i="1"/>
  <c r="AO173" i="1"/>
  <c r="AO172" i="1"/>
  <c r="AO171" i="1"/>
  <c r="AO170" i="1"/>
  <c r="AO169" i="1"/>
  <c r="AO168" i="1"/>
  <c r="AO167" i="1"/>
  <c r="AO166" i="1"/>
  <c r="AO165" i="1"/>
  <c r="AO164" i="1"/>
  <c r="AO163" i="1"/>
  <c r="AO162" i="1"/>
  <c r="AO161" i="1"/>
  <c r="AO160" i="1"/>
  <c r="AO159" i="1"/>
  <c r="AO158" i="1"/>
  <c r="AO157" i="1"/>
  <c r="AO156" i="1"/>
  <c r="AO155" i="1"/>
  <c r="AO154" i="1"/>
  <c r="AO153" i="1"/>
  <c r="AO152" i="1"/>
  <c r="AO151" i="1"/>
  <c r="AO150" i="1"/>
  <c r="AO149" i="1"/>
  <c r="AO148" i="1"/>
  <c r="AO147" i="1"/>
  <c r="AO146" i="1"/>
  <c r="AO145" i="1"/>
  <c r="AO144" i="1"/>
  <c r="AO143" i="1"/>
  <c r="AO142" i="1"/>
  <c r="AO141" i="1"/>
  <c r="AO140" i="1"/>
  <c r="AO139" i="1"/>
  <c r="AO138" i="1"/>
  <c r="AO137" i="1"/>
  <c r="AO136" i="1"/>
  <c r="AO135" i="1"/>
  <c r="AO134" i="1"/>
  <c r="AO133" i="1"/>
  <c r="AO132" i="1"/>
  <c r="AO131" i="1"/>
  <c r="AO130" i="1"/>
  <c r="AO129" i="1"/>
  <c r="AO128" i="1"/>
  <c r="AO127" i="1"/>
  <c r="AO126" i="1"/>
  <c r="AO125" i="1"/>
  <c r="AO124" i="1"/>
  <c r="AO123" i="1"/>
  <c r="AO122" i="1"/>
  <c r="AO121" i="1"/>
  <c r="AO120" i="1"/>
  <c r="AO119" i="1"/>
  <c r="AO118" i="1"/>
  <c r="AO117" i="1"/>
  <c r="AO116" i="1"/>
  <c r="AO115" i="1"/>
  <c r="AO114" i="1"/>
  <c r="AO113" i="1"/>
  <c r="AO112" i="1"/>
  <c r="AO111" i="1"/>
  <c r="AO110" i="1"/>
  <c r="AO109" i="1"/>
  <c r="AO108" i="1"/>
  <c r="AO107" i="1"/>
  <c r="AO106" i="1"/>
  <c r="AO105" i="1"/>
  <c r="AO104" i="1"/>
  <c r="AO103" i="1"/>
  <c r="AO102" i="1"/>
  <c r="AO101" i="1"/>
  <c r="AO100" i="1"/>
  <c r="AO99" i="1"/>
  <c r="AO98" i="1"/>
  <c r="AO97" i="1"/>
  <c r="AO96" i="1"/>
  <c r="AO95" i="1"/>
  <c r="AO94" i="1"/>
  <c r="AO93" i="1"/>
  <c r="AO92" i="1"/>
  <c r="AO91" i="1"/>
  <c r="AO90" i="1"/>
  <c r="AO89" i="1"/>
  <c r="AO88" i="1"/>
  <c r="AO87" i="1"/>
  <c r="AO86" i="1"/>
  <c r="AO85" i="1"/>
  <c r="AO84" i="1"/>
  <c r="AO83" i="1"/>
  <c r="AO82" i="1"/>
  <c r="AO81" i="1"/>
  <c r="AO80" i="1"/>
  <c r="AO79" i="1"/>
  <c r="AO78" i="1"/>
  <c r="AO77" i="1"/>
  <c r="AO76" i="1"/>
  <c r="AO75" i="1"/>
  <c r="AO74" i="1"/>
  <c r="AO73" i="1"/>
  <c r="AO72" i="1"/>
  <c r="AO71" i="1"/>
  <c r="AO70" i="1"/>
  <c r="AO69" i="1"/>
  <c r="AO68" i="1"/>
  <c r="AO67" i="1"/>
  <c r="AO66" i="1"/>
  <c r="AO65" i="1"/>
  <c r="AO64" i="1"/>
  <c r="AO63" i="1"/>
  <c r="AO62" i="1"/>
  <c r="AO61" i="1"/>
  <c r="AO60" i="1"/>
  <c r="AO59" i="1"/>
  <c r="AO58" i="1"/>
  <c r="AO57" i="1"/>
  <c r="AO56" i="1"/>
  <c r="AO55" i="1"/>
  <c r="AO54" i="1"/>
  <c r="AO53" i="1"/>
  <c r="AO52" i="1"/>
  <c r="AO51" i="1"/>
  <c r="AO50" i="1"/>
  <c r="AO49" i="1"/>
  <c r="AO48" i="1"/>
  <c r="AO47" i="1"/>
  <c r="AO46" i="1"/>
  <c r="AO45" i="1"/>
  <c r="AO44" i="1"/>
  <c r="AO43" i="1"/>
  <c r="AO42" i="1"/>
  <c r="AO41" i="1"/>
  <c r="AO40" i="1"/>
  <c r="AO39" i="1"/>
  <c r="AO38" i="1"/>
  <c r="AO37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2" i="1"/>
  <c r="AO11" i="1"/>
  <c r="AO10" i="1"/>
  <c r="AO9" i="1"/>
  <c r="AO8" i="1"/>
  <c r="AO7" i="1"/>
  <c r="AM375" i="1"/>
  <c r="AM374" i="1"/>
  <c r="AM373" i="1"/>
  <c r="AM372" i="1"/>
  <c r="AM371" i="1"/>
  <c r="AM370" i="1"/>
  <c r="AM369" i="1"/>
  <c r="AM368" i="1"/>
  <c r="AM367" i="1"/>
  <c r="AM366" i="1"/>
  <c r="AM365" i="1"/>
  <c r="AM364" i="1"/>
  <c r="AM363" i="1"/>
  <c r="AM362" i="1"/>
  <c r="AM361" i="1"/>
  <c r="AM360" i="1"/>
  <c r="AM359" i="1"/>
  <c r="AM358" i="1"/>
  <c r="AM357" i="1"/>
  <c r="AM356" i="1"/>
  <c r="AM355" i="1"/>
  <c r="AM354" i="1"/>
  <c r="AM353" i="1"/>
  <c r="AM352" i="1"/>
  <c r="AM351" i="1"/>
  <c r="AM350" i="1"/>
  <c r="AM349" i="1"/>
  <c r="AM348" i="1"/>
  <c r="AM347" i="1"/>
  <c r="AM346" i="1"/>
  <c r="AM345" i="1"/>
  <c r="AM344" i="1"/>
  <c r="AM343" i="1"/>
  <c r="AM342" i="1"/>
  <c r="AM341" i="1"/>
  <c r="AM340" i="1"/>
  <c r="AM339" i="1"/>
  <c r="AM338" i="1"/>
  <c r="AM337" i="1"/>
  <c r="AM336" i="1"/>
  <c r="AM335" i="1"/>
  <c r="AM334" i="1"/>
  <c r="AM333" i="1"/>
  <c r="AM332" i="1"/>
  <c r="AM331" i="1"/>
  <c r="AM330" i="1"/>
  <c r="AM329" i="1"/>
  <c r="AM328" i="1"/>
  <c r="AM327" i="1"/>
  <c r="AM326" i="1"/>
  <c r="AM325" i="1"/>
  <c r="AM324" i="1"/>
  <c r="AM323" i="1"/>
  <c r="AM322" i="1"/>
  <c r="AM321" i="1"/>
  <c r="AM320" i="1"/>
  <c r="AM319" i="1"/>
  <c r="AM318" i="1"/>
  <c r="AM317" i="1"/>
  <c r="AM316" i="1"/>
  <c r="AM315" i="1"/>
  <c r="AM314" i="1"/>
  <c r="AM313" i="1"/>
  <c r="AM312" i="1"/>
  <c r="AM311" i="1"/>
  <c r="AM310" i="1"/>
  <c r="AM309" i="1"/>
  <c r="AM308" i="1"/>
  <c r="AM307" i="1"/>
  <c r="AM306" i="1"/>
  <c r="AM305" i="1"/>
  <c r="AM304" i="1"/>
  <c r="AM303" i="1"/>
  <c r="AM302" i="1"/>
  <c r="AM301" i="1"/>
  <c r="AM300" i="1"/>
  <c r="AM299" i="1"/>
  <c r="AM298" i="1"/>
  <c r="AM297" i="1"/>
  <c r="AM296" i="1"/>
  <c r="AM295" i="1"/>
  <c r="AM294" i="1"/>
  <c r="AM293" i="1"/>
  <c r="AM292" i="1"/>
  <c r="AM291" i="1"/>
  <c r="AM290" i="1"/>
  <c r="AM289" i="1"/>
  <c r="AM288" i="1"/>
  <c r="AM287" i="1"/>
  <c r="AM286" i="1"/>
  <c r="AM285" i="1"/>
  <c r="AM284" i="1"/>
  <c r="AM283" i="1"/>
  <c r="AM282" i="1"/>
  <c r="AM281" i="1"/>
  <c r="AM280" i="1"/>
  <c r="AM279" i="1"/>
  <c r="AM278" i="1"/>
  <c r="AM277" i="1"/>
  <c r="AM276" i="1"/>
  <c r="AM275" i="1"/>
  <c r="AM274" i="1"/>
  <c r="AM273" i="1"/>
  <c r="AM272" i="1"/>
  <c r="AM271" i="1"/>
  <c r="AM270" i="1"/>
  <c r="AM269" i="1"/>
  <c r="AM268" i="1"/>
  <c r="AM267" i="1"/>
  <c r="AM266" i="1"/>
  <c r="AM265" i="1"/>
  <c r="AM264" i="1"/>
  <c r="AM263" i="1"/>
  <c r="AM262" i="1"/>
  <c r="AM261" i="1"/>
  <c r="AM260" i="1"/>
  <c r="AM259" i="1"/>
  <c r="AM258" i="1"/>
  <c r="AM257" i="1"/>
  <c r="AM256" i="1"/>
  <c r="AM255" i="1"/>
  <c r="AM254" i="1"/>
  <c r="AM253" i="1"/>
  <c r="AM252" i="1"/>
  <c r="AM251" i="1"/>
  <c r="AM250" i="1"/>
  <c r="AM249" i="1"/>
  <c r="AM248" i="1"/>
  <c r="AM247" i="1"/>
  <c r="AM246" i="1"/>
  <c r="AM245" i="1"/>
  <c r="AM244" i="1"/>
  <c r="AM243" i="1"/>
  <c r="AM242" i="1"/>
  <c r="AM241" i="1"/>
  <c r="AM240" i="1"/>
  <c r="AM239" i="1"/>
  <c r="AM238" i="1"/>
  <c r="AM237" i="1"/>
  <c r="AM236" i="1"/>
  <c r="AM235" i="1"/>
  <c r="AM234" i="1"/>
  <c r="AM233" i="1"/>
  <c r="AM232" i="1"/>
  <c r="AM231" i="1"/>
  <c r="AM230" i="1"/>
  <c r="AM229" i="1"/>
  <c r="AM228" i="1"/>
  <c r="AM227" i="1"/>
  <c r="AM226" i="1"/>
  <c r="AM225" i="1"/>
  <c r="AM224" i="1"/>
  <c r="AM223" i="1"/>
  <c r="AM222" i="1"/>
  <c r="AM221" i="1"/>
  <c r="AM220" i="1"/>
  <c r="AM219" i="1"/>
  <c r="AM218" i="1"/>
  <c r="AM217" i="1"/>
  <c r="AM216" i="1"/>
  <c r="AM215" i="1"/>
  <c r="AM214" i="1"/>
  <c r="AM213" i="1"/>
  <c r="AM212" i="1"/>
  <c r="AM211" i="1"/>
  <c r="AM210" i="1"/>
  <c r="AM209" i="1"/>
  <c r="AM208" i="1"/>
  <c r="AM207" i="1"/>
  <c r="AM206" i="1"/>
  <c r="AM205" i="1"/>
  <c r="AM204" i="1"/>
  <c r="AM203" i="1"/>
  <c r="AM202" i="1"/>
  <c r="AM201" i="1"/>
  <c r="AM200" i="1"/>
  <c r="AM199" i="1"/>
  <c r="AM198" i="1"/>
  <c r="AM197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K375" i="1"/>
  <c r="AK374" i="1"/>
  <c r="AK373" i="1"/>
  <c r="AK372" i="1"/>
  <c r="AK371" i="1"/>
  <c r="AK370" i="1"/>
  <c r="AK369" i="1"/>
  <c r="AK368" i="1"/>
  <c r="AK367" i="1"/>
  <c r="AK366" i="1"/>
  <c r="AK365" i="1"/>
  <c r="AK364" i="1"/>
  <c r="AK363" i="1"/>
  <c r="AK362" i="1"/>
  <c r="AK361" i="1"/>
  <c r="AK360" i="1"/>
  <c r="AK359" i="1"/>
  <c r="AK358" i="1"/>
  <c r="AK357" i="1"/>
  <c r="AK356" i="1"/>
  <c r="AK355" i="1"/>
  <c r="AK354" i="1"/>
  <c r="AK353" i="1"/>
  <c r="AK352" i="1"/>
  <c r="AK351" i="1"/>
  <c r="AK350" i="1"/>
  <c r="AK349" i="1"/>
  <c r="AK348" i="1"/>
  <c r="AK347" i="1"/>
  <c r="AK346" i="1"/>
  <c r="AK345" i="1"/>
  <c r="AK344" i="1"/>
  <c r="AK343" i="1"/>
  <c r="AK342" i="1"/>
  <c r="AK341" i="1"/>
  <c r="AK340" i="1"/>
  <c r="AK339" i="1"/>
  <c r="AK338" i="1"/>
  <c r="AK337" i="1"/>
  <c r="AK336" i="1"/>
  <c r="AK335" i="1"/>
  <c r="AK334" i="1"/>
  <c r="AK333" i="1"/>
  <c r="AK332" i="1"/>
  <c r="AK331" i="1"/>
  <c r="AK330" i="1"/>
  <c r="AK329" i="1"/>
  <c r="AK328" i="1"/>
  <c r="AK327" i="1"/>
  <c r="AK326" i="1"/>
  <c r="AK325" i="1"/>
  <c r="AK324" i="1"/>
  <c r="AK323" i="1"/>
  <c r="AK322" i="1"/>
  <c r="AK321" i="1"/>
  <c r="AK320" i="1"/>
  <c r="AK319" i="1"/>
  <c r="AK318" i="1"/>
  <c r="AK317" i="1"/>
  <c r="AK316" i="1"/>
  <c r="AK315" i="1"/>
  <c r="AK314" i="1"/>
  <c r="AK313" i="1"/>
  <c r="AK312" i="1"/>
  <c r="AK311" i="1"/>
  <c r="AK310" i="1"/>
  <c r="AK309" i="1"/>
  <c r="AK308" i="1"/>
  <c r="AK307" i="1"/>
  <c r="AK306" i="1"/>
  <c r="AK305" i="1"/>
  <c r="AK304" i="1"/>
  <c r="AK303" i="1"/>
  <c r="AK30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288" i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K249" i="1"/>
  <c r="AK248" i="1"/>
  <c r="AK247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I375" i="1"/>
  <c r="AI374" i="1"/>
  <c r="AI373" i="1"/>
  <c r="AI372" i="1"/>
  <c r="AI371" i="1"/>
  <c r="AI370" i="1"/>
  <c r="AI369" i="1"/>
  <c r="AI368" i="1"/>
  <c r="AI367" i="1"/>
  <c r="AI366" i="1"/>
  <c r="AI365" i="1"/>
  <c r="AI364" i="1"/>
  <c r="AI363" i="1"/>
  <c r="AI362" i="1"/>
  <c r="AI361" i="1"/>
  <c r="AI360" i="1"/>
  <c r="AI359" i="1"/>
  <c r="AI358" i="1"/>
  <c r="AI357" i="1"/>
  <c r="AI356" i="1"/>
  <c r="AI355" i="1"/>
  <c r="AI354" i="1"/>
  <c r="AI353" i="1"/>
  <c r="AI352" i="1"/>
  <c r="AI351" i="1"/>
  <c r="AI350" i="1"/>
  <c r="AI349" i="1"/>
  <c r="AI348" i="1"/>
  <c r="AI347" i="1"/>
  <c r="AI346" i="1"/>
  <c r="AI345" i="1"/>
  <c r="AI344" i="1"/>
  <c r="AI343" i="1"/>
  <c r="AI342" i="1"/>
  <c r="AI341" i="1"/>
  <c r="AI340" i="1"/>
  <c r="AI339" i="1"/>
  <c r="AI338" i="1"/>
  <c r="AI337" i="1"/>
  <c r="AI336" i="1"/>
  <c r="AI335" i="1"/>
  <c r="AI334" i="1"/>
  <c r="AI333" i="1"/>
  <c r="AI332" i="1"/>
  <c r="AI331" i="1"/>
  <c r="AI330" i="1"/>
  <c r="AI329" i="1"/>
  <c r="AI328" i="1"/>
  <c r="AI327" i="1"/>
  <c r="AI326" i="1"/>
  <c r="AI325" i="1"/>
  <c r="AI324" i="1"/>
  <c r="AI323" i="1"/>
  <c r="AI322" i="1"/>
  <c r="AI321" i="1"/>
  <c r="AI320" i="1"/>
  <c r="AI319" i="1"/>
  <c r="AI318" i="1"/>
  <c r="AI317" i="1"/>
  <c r="AI316" i="1"/>
  <c r="AI315" i="1"/>
  <c r="AI314" i="1"/>
  <c r="AI313" i="1"/>
  <c r="AI312" i="1"/>
  <c r="AI311" i="1"/>
  <c r="AI310" i="1"/>
  <c r="AI309" i="1"/>
  <c r="AI308" i="1"/>
  <c r="AI307" i="1"/>
  <c r="AI306" i="1"/>
  <c r="AI305" i="1"/>
  <c r="AI304" i="1"/>
  <c r="AI303" i="1"/>
  <c r="AI302" i="1"/>
  <c r="AI301" i="1"/>
  <c r="AI300" i="1"/>
  <c r="AI299" i="1"/>
  <c r="AI298" i="1"/>
  <c r="AI297" i="1"/>
  <c r="AI296" i="1"/>
  <c r="AI295" i="1"/>
  <c r="AI294" i="1"/>
  <c r="AI293" i="1"/>
  <c r="AI292" i="1"/>
  <c r="AI291" i="1"/>
  <c r="AI290" i="1"/>
  <c r="AI289" i="1"/>
  <c r="AI288" i="1"/>
  <c r="AI287" i="1"/>
  <c r="AI286" i="1"/>
  <c r="AI285" i="1"/>
  <c r="AI284" i="1"/>
  <c r="AI283" i="1"/>
  <c r="AI282" i="1"/>
  <c r="AI281" i="1"/>
  <c r="AI280" i="1"/>
  <c r="AI279" i="1"/>
  <c r="AI278" i="1"/>
  <c r="AI277" i="1"/>
  <c r="AI276" i="1"/>
  <c r="AI275" i="1"/>
  <c r="AI274" i="1"/>
  <c r="AI273" i="1"/>
  <c r="AI272" i="1"/>
  <c r="AI271" i="1"/>
  <c r="AI270" i="1"/>
  <c r="AI269" i="1"/>
  <c r="AI268" i="1"/>
  <c r="AI267" i="1"/>
  <c r="AI266" i="1"/>
  <c r="AI265" i="1"/>
  <c r="AI264" i="1"/>
  <c r="AI263" i="1"/>
  <c r="AI262" i="1"/>
  <c r="AI261" i="1"/>
  <c r="AI260" i="1"/>
  <c r="AI259" i="1"/>
  <c r="AI258" i="1"/>
  <c r="AI257" i="1"/>
  <c r="AI256" i="1"/>
  <c r="AI255" i="1"/>
  <c r="AI254" i="1"/>
  <c r="AI253" i="1"/>
  <c r="AI252" i="1"/>
  <c r="AI251" i="1"/>
  <c r="AI250" i="1"/>
  <c r="AI249" i="1"/>
  <c r="AI248" i="1"/>
  <c r="AI247" i="1"/>
  <c r="AI246" i="1"/>
  <c r="AI245" i="1"/>
  <c r="AI244" i="1"/>
  <c r="AI243" i="1"/>
  <c r="AI242" i="1"/>
  <c r="AI241" i="1"/>
  <c r="AI240" i="1"/>
  <c r="AI239" i="1"/>
  <c r="AI238" i="1"/>
  <c r="AI237" i="1"/>
  <c r="AI236" i="1"/>
  <c r="AI235" i="1"/>
  <c r="AI234" i="1"/>
  <c r="AI233" i="1"/>
  <c r="AI232" i="1"/>
  <c r="AI231" i="1"/>
  <c r="AI230" i="1"/>
  <c r="AI229" i="1"/>
  <c r="AI228" i="1"/>
  <c r="AI227" i="1"/>
  <c r="AI226" i="1"/>
  <c r="AI225" i="1"/>
  <c r="AI224" i="1"/>
  <c r="AI223" i="1"/>
  <c r="AI222" i="1"/>
  <c r="AI221" i="1"/>
  <c r="AI220" i="1"/>
  <c r="AI219" i="1"/>
  <c r="AI218" i="1"/>
  <c r="AI217" i="1"/>
  <c r="AI216" i="1"/>
  <c r="AI215" i="1"/>
  <c r="AI214" i="1"/>
  <c r="AI213" i="1"/>
  <c r="AI212" i="1"/>
  <c r="AI211" i="1"/>
  <c r="AI210" i="1"/>
  <c r="AI209" i="1"/>
  <c r="AI208" i="1"/>
  <c r="AI207" i="1"/>
  <c r="AI206" i="1"/>
  <c r="AI205" i="1"/>
  <c r="AI204" i="1"/>
  <c r="AI203" i="1"/>
  <c r="AI202" i="1"/>
  <c r="AI201" i="1"/>
  <c r="AI200" i="1"/>
  <c r="AI199" i="1"/>
  <c r="AI198" i="1"/>
  <c r="AI197" i="1"/>
  <c r="AI196" i="1"/>
  <c r="AI19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G375" i="1"/>
  <c r="AG374" i="1"/>
  <c r="AG373" i="1"/>
  <c r="AG372" i="1"/>
  <c r="AG371" i="1"/>
  <c r="AG370" i="1"/>
  <c r="AG369" i="1"/>
  <c r="AG368" i="1"/>
  <c r="AG367" i="1"/>
  <c r="AG366" i="1"/>
  <c r="AG365" i="1"/>
  <c r="AG364" i="1"/>
  <c r="AG363" i="1"/>
  <c r="AG362" i="1"/>
  <c r="AG361" i="1"/>
  <c r="AG360" i="1"/>
  <c r="AG359" i="1"/>
  <c r="AG358" i="1"/>
  <c r="AG357" i="1"/>
  <c r="AG356" i="1"/>
  <c r="AG355" i="1"/>
  <c r="AG354" i="1"/>
  <c r="AG353" i="1"/>
  <c r="AG352" i="1"/>
  <c r="AG351" i="1"/>
  <c r="AG350" i="1"/>
  <c r="AG349" i="1"/>
  <c r="AG348" i="1"/>
  <c r="AG347" i="1"/>
  <c r="AG346" i="1"/>
  <c r="AG345" i="1"/>
  <c r="AG344" i="1"/>
  <c r="AG343" i="1"/>
  <c r="AG342" i="1"/>
  <c r="AG341" i="1"/>
  <c r="AG340" i="1"/>
  <c r="AG339" i="1"/>
  <c r="AG338" i="1"/>
  <c r="AG337" i="1"/>
  <c r="AG336" i="1"/>
  <c r="AG335" i="1"/>
  <c r="AG334" i="1"/>
  <c r="AG333" i="1"/>
  <c r="AG332" i="1"/>
  <c r="AG331" i="1"/>
  <c r="AG330" i="1"/>
  <c r="AG329" i="1"/>
  <c r="AG328" i="1"/>
  <c r="AG327" i="1"/>
  <c r="AG326" i="1"/>
  <c r="AG325" i="1"/>
  <c r="AG324" i="1"/>
  <c r="AG323" i="1"/>
  <c r="AG322" i="1"/>
  <c r="AG321" i="1"/>
  <c r="AG320" i="1"/>
  <c r="AG319" i="1"/>
  <c r="AG318" i="1"/>
  <c r="AG317" i="1"/>
  <c r="AG316" i="1"/>
  <c r="AG315" i="1"/>
  <c r="AG314" i="1"/>
  <c r="AG313" i="1"/>
  <c r="AG312" i="1"/>
  <c r="AG311" i="1"/>
  <c r="AG310" i="1"/>
  <c r="AG309" i="1"/>
  <c r="AG308" i="1"/>
  <c r="AG307" i="1"/>
  <c r="AG306" i="1"/>
  <c r="AG305" i="1"/>
  <c r="AG304" i="1"/>
  <c r="AG303" i="1"/>
  <c r="AG302" i="1"/>
  <c r="AG301" i="1"/>
  <c r="AG300" i="1"/>
  <c r="AG299" i="1"/>
  <c r="AG298" i="1"/>
  <c r="AG297" i="1"/>
  <c r="AG296" i="1"/>
  <c r="AG295" i="1"/>
  <c r="AG294" i="1"/>
  <c r="AG293" i="1"/>
  <c r="AG292" i="1"/>
  <c r="AG291" i="1"/>
  <c r="AG290" i="1"/>
  <c r="AG289" i="1"/>
  <c r="AG288" i="1"/>
  <c r="AG287" i="1"/>
  <c r="AG286" i="1"/>
  <c r="AG285" i="1"/>
  <c r="AG284" i="1"/>
  <c r="AG283" i="1"/>
  <c r="AG282" i="1"/>
  <c r="AG281" i="1"/>
  <c r="AG280" i="1"/>
  <c r="AG279" i="1"/>
  <c r="AG278" i="1"/>
  <c r="AG277" i="1"/>
  <c r="AG276" i="1"/>
  <c r="AG275" i="1"/>
  <c r="AG274" i="1"/>
  <c r="AG273" i="1"/>
  <c r="AG272" i="1"/>
  <c r="AG271" i="1"/>
  <c r="AG270" i="1"/>
  <c r="AG269" i="1"/>
  <c r="AG268" i="1"/>
  <c r="AG267" i="1"/>
  <c r="AG266" i="1"/>
  <c r="AG265" i="1"/>
  <c r="AG264" i="1"/>
  <c r="AG263" i="1"/>
  <c r="AG262" i="1"/>
  <c r="AG261" i="1"/>
  <c r="AG260" i="1"/>
  <c r="AG259" i="1"/>
  <c r="AG258" i="1"/>
  <c r="AG257" i="1"/>
  <c r="AG256" i="1"/>
  <c r="AG255" i="1"/>
  <c r="AG254" i="1"/>
  <c r="AG253" i="1"/>
  <c r="AG252" i="1"/>
  <c r="AG251" i="1"/>
  <c r="AG250" i="1"/>
  <c r="AG249" i="1"/>
  <c r="AG248" i="1"/>
  <c r="AG247" i="1"/>
  <c r="AG246" i="1"/>
  <c r="AG245" i="1"/>
  <c r="AG244" i="1"/>
  <c r="AG243" i="1"/>
  <c r="AG242" i="1"/>
  <c r="AG241" i="1"/>
  <c r="AG240" i="1"/>
  <c r="AG239" i="1"/>
  <c r="AG238" i="1"/>
  <c r="AG237" i="1"/>
  <c r="AG236" i="1"/>
  <c r="AG235" i="1"/>
  <c r="AG234" i="1"/>
  <c r="AG233" i="1"/>
  <c r="AG232" i="1"/>
  <c r="AG231" i="1"/>
  <c r="AG230" i="1"/>
  <c r="AG229" i="1"/>
  <c r="AG228" i="1"/>
  <c r="AG227" i="1"/>
  <c r="AG226" i="1"/>
  <c r="AG225" i="1"/>
  <c r="AG224" i="1"/>
  <c r="AG223" i="1"/>
  <c r="AG222" i="1"/>
  <c r="AG221" i="1"/>
  <c r="AG220" i="1"/>
  <c r="AG219" i="1"/>
  <c r="AG218" i="1"/>
  <c r="AG217" i="1"/>
  <c r="AG216" i="1"/>
  <c r="AG215" i="1"/>
  <c r="AG214" i="1"/>
  <c r="AG213" i="1"/>
  <c r="AG212" i="1"/>
  <c r="AG211" i="1"/>
  <c r="AG210" i="1"/>
  <c r="AG209" i="1"/>
  <c r="AG208" i="1"/>
  <c r="AG207" i="1"/>
  <c r="AG206" i="1"/>
  <c r="AG205" i="1"/>
  <c r="AG204" i="1"/>
  <c r="AG203" i="1"/>
  <c r="AG202" i="1"/>
  <c r="AG201" i="1"/>
  <c r="AG200" i="1"/>
  <c r="AG199" i="1"/>
  <c r="AG198" i="1"/>
  <c r="AG197" i="1"/>
  <c r="AG196" i="1"/>
  <c r="AG195" i="1"/>
  <c r="AG194" i="1"/>
  <c r="AG193" i="1"/>
  <c r="AG192" i="1"/>
  <c r="AG191" i="1"/>
  <c r="AG190" i="1"/>
  <c r="AG189" i="1"/>
  <c r="AG188" i="1"/>
  <c r="AG187" i="1"/>
  <c r="AG186" i="1"/>
  <c r="AG185" i="1"/>
  <c r="AG184" i="1"/>
  <c r="AG183" i="1"/>
  <c r="AG182" i="1"/>
  <c r="AG181" i="1"/>
  <c r="AG180" i="1"/>
  <c r="AG179" i="1"/>
  <c r="AG178" i="1"/>
  <c r="AG177" i="1"/>
  <c r="AG176" i="1"/>
  <c r="AG175" i="1"/>
  <c r="AG174" i="1"/>
  <c r="AG173" i="1"/>
  <c r="AG172" i="1"/>
  <c r="AG171" i="1"/>
  <c r="AG170" i="1"/>
  <c r="AG169" i="1"/>
  <c r="AG168" i="1"/>
  <c r="AG167" i="1"/>
  <c r="AG166" i="1"/>
  <c r="AG165" i="1"/>
  <c r="AG164" i="1"/>
  <c r="AG163" i="1"/>
  <c r="AG162" i="1"/>
  <c r="AG161" i="1"/>
  <c r="AG160" i="1"/>
  <c r="AG159" i="1"/>
  <c r="AG158" i="1"/>
  <c r="AG157" i="1"/>
  <c r="AG156" i="1"/>
  <c r="AG155" i="1"/>
  <c r="AG154" i="1"/>
  <c r="AG153" i="1"/>
  <c r="AG152" i="1"/>
  <c r="AG151" i="1"/>
  <c r="AG150" i="1"/>
  <c r="AG149" i="1"/>
  <c r="AG148" i="1"/>
  <c r="AG147" i="1"/>
  <c r="AG146" i="1"/>
  <c r="AG145" i="1"/>
  <c r="AG144" i="1"/>
  <c r="AG143" i="1"/>
  <c r="AG142" i="1"/>
  <c r="AG141" i="1"/>
  <c r="AG140" i="1"/>
  <c r="AG139" i="1"/>
  <c r="AG138" i="1"/>
  <c r="AG137" i="1"/>
  <c r="AG136" i="1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3" i="1"/>
  <c r="AG122" i="1"/>
  <c r="AG121" i="1"/>
  <c r="AG120" i="1"/>
  <c r="AG119" i="1"/>
  <c r="AG118" i="1"/>
  <c r="AG117" i="1"/>
  <c r="AG116" i="1"/>
  <c r="AG115" i="1"/>
  <c r="AG114" i="1"/>
  <c r="AG113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E375" i="1"/>
  <c r="AE374" i="1"/>
  <c r="AE373" i="1"/>
  <c r="AE372" i="1"/>
  <c r="AE371" i="1"/>
  <c r="AE370" i="1"/>
  <c r="AE369" i="1"/>
  <c r="AE368" i="1"/>
  <c r="AE367" i="1"/>
  <c r="AE366" i="1"/>
  <c r="AE365" i="1"/>
  <c r="AE364" i="1"/>
  <c r="AE363" i="1"/>
  <c r="AE362" i="1"/>
  <c r="AE361" i="1"/>
  <c r="AE360" i="1"/>
  <c r="AE359" i="1"/>
  <c r="AE358" i="1"/>
  <c r="AE357" i="1"/>
  <c r="AE356" i="1"/>
  <c r="AE355" i="1"/>
  <c r="AE354" i="1"/>
  <c r="AE353" i="1"/>
  <c r="AE352" i="1"/>
  <c r="AE351" i="1"/>
  <c r="AE350" i="1"/>
  <c r="AE349" i="1"/>
  <c r="AE348" i="1"/>
  <c r="AE347" i="1"/>
  <c r="AE346" i="1"/>
  <c r="AE345" i="1"/>
  <c r="AE344" i="1"/>
  <c r="AE343" i="1"/>
  <c r="AE342" i="1"/>
  <c r="AE341" i="1"/>
  <c r="AE340" i="1"/>
  <c r="AE339" i="1"/>
  <c r="AE338" i="1"/>
  <c r="AE337" i="1"/>
  <c r="AE336" i="1"/>
  <c r="AE335" i="1"/>
  <c r="AE334" i="1"/>
  <c r="AE333" i="1"/>
  <c r="AE332" i="1"/>
  <c r="AE331" i="1"/>
  <c r="AE330" i="1"/>
  <c r="AE329" i="1"/>
  <c r="AE328" i="1"/>
  <c r="AE327" i="1"/>
  <c r="AE326" i="1"/>
  <c r="AE325" i="1"/>
  <c r="AE324" i="1"/>
  <c r="AE323" i="1"/>
  <c r="AE322" i="1"/>
  <c r="AE321" i="1"/>
  <c r="AE320" i="1"/>
  <c r="AE319" i="1"/>
  <c r="AE318" i="1"/>
  <c r="AE317" i="1"/>
  <c r="AE316" i="1"/>
  <c r="AE315" i="1"/>
  <c r="AE314" i="1"/>
  <c r="AE313" i="1"/>
  <c r="AE312" i="1"/>
  <c r="AE311" i="1"/>
  <c r="AE310" i="1"/>
  <c r="AE309" i="1"/>
  <c r="AE308" i="1"/>
  <c r="AE307" i="1"/>
  <c r="AE306" i="1"/>
  <c r="AE305" i="1"/>
  <c r="AE304" i="1"/>
  <c r="AE303" i="1"/>
  <c r="AE302" i="1"/>
  <c r="AE301" i="1"/>
  <c r="AE300" i="1"/>
  <c r="AE299" i="1"/>
  <c r="AE298" i="1"/>
  <c r="AE297" i="1"/>
  <c r="AE296" i="1"/>
  <c r="AE295" i="1"/>
  <c r="AE294" i="1"/>
  <c r="AE293" i="1"/>
  <c r="AE292" i="1"/>
  <c r="AE291" i="1"/>
  <c r="AE290" i="1"/>
  <c r="AE289" i="1"/>
  <c r="AE288" i="1"/>
  <c r="AE287" i="1"/>
  <c r="AE286" i="1"/>
  <c r="AE285" i="1"/>
  <c r="AE284" i="1"/>
  <c r="AE283" i="1"/>
  <c r="AE282" i="1"/>
  <c r="AE281" i="1"/>
  <c r="AE280" i="1"/>
  <c r="AE279" i="1"/>
  <c r="AE278" i="1"/>
  <c r="AE277" i="1"/>
  <c r="AE276" i="1"/>
  <c r="AE275" i="1"/>
  <c r="AE274" i="1"/>
  <c r="AE273" i="1"/>
  <c r="AE272" i="1"/>
  <c r="AE271" i="1"/>
  <c r="AE270" i="1"/>
  <c r="AE269" i="1"/>
  <c r="AE268" i="1"/>
  <c r="AE267" i="1"/>
  <c r="AE266" i="1"/>
  <c r="AE265" i="1"/>
  <c r="AE264" i="1"/>
  <c r="AE263" i="1"/>
  <c r="AE262" i="1"/>
  <c r="AE261" i="1"/>
  <c r="AE260" i="1"/>
  <c r="AE259" i="1"/>
  <c r="AE258" i="1"/>
  <c r="AE257" i="1"/>
  <c r="AE256" i="1"/>
  <c r="AE255" i="1"/>
  <c r="AE254" i="1"/>
  <c r="AE253" i="1"/>
  <c r="AE252" i="1"/>
  <c r="AE251" i="1"/>
  <c r="AE250" i="1"/>
  <c r="AE249" i="1"/>
  <c r="AE248" i="1"/>
  <c r="AE247" i="1"/>
  <c r="AE246" i="1"/>
  <c r="AE245" i="1"/>
  <c r="AE244" i="1"/>
  <c r="AE243" i="1"/>
  <c r="AE242" i="1"/>
  <c r="AE241" i="1"/>
  <c r="AE240" i="1"/>
  <c r="AE239" i="1"/>
  <c r="AE238" i="1"/>
  <c r="AE237" i="1"/>
  <c r="AE236" i="1"/>
  <c r="AE235" i="1"/>
  <c r="AE234" i="1"/>
  <c r="AE233" i="1"/>
  <c r="AE232" i="1"/>
  <c r="AE231" i="1"/>
  <c r="AE230" i="1"/>
  <c r="AE229" i="1"/>
  <c r="AE228" i="1"/>
  <c r="AE227" i="1"/>
  <c r="AE226" i="1"/>
  <c r="AE225" i="1"/>
  <c r="AE224" i="1"/>
  <c r="AE223" i="1"/>
  <c r="AE222" i="1"/>
  <c r="AE221" i="1"/>
  <c r="AE220" i="1"/>
  <c r="AE219" i="1"/>
  <c r="AE218" i="1"/>
  <c r="AE217" i="1"/>
  <c r="AE216" i="1"/>
  <c r="AE215" i="1"/>
  <c r="AE214" i="1"/>
  <c r="AE213" i="1"/>
  <c r="AE212" i="1"/>
  <c r="AE211" i="1"/>
  <c r="AE210" i="1"/>
  <c r="AE209" i="1"/>
  <c r="AE208" i="1"/>
  <c r="AE207" i="1"/>
  <c r="AE206" i="1"/>
  <c r="AE205" i="1"/>
  <c r="AE204" i="1"/>
  <c r="AE203" i="1"/>
  <c r="AE202" i="1"/>
  <c r="AE201" i="1"/>
  <c r="AE200" i="1"/>
  <c r="AE199" i="1"/>
  <c r="AE198" i="1"/>
  <c r="AE197" i="1"/>
  <c r="AE196" i="1"/>
  <c r="AE195" i="1"/>
  <c r="AE194" i="1"/>
  <c r="AE193" i="1"/>
  <c r="AE192" i="1"/>
  <c r="AE191" i="1"/>
  <c r="AE190" i="1"/>
  <c r="AE189" i="1"/>
  <c r="AE188" i="1"/>
  <c r="AE187" i="1"/>
  <c r="AE186" i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2" i="1"/>
  <c r="AE161" i="1"/>
  <c r="AE160" i="1"/>
  <c r="AE159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C375" i="1"/>
  <c r="AC374" i="1"/>
  <c r="AC373" i="1"/>
  <c r="AC372" i="1"/>
  <c r="AC371" i="1"/>
  <c r="AC370" i="1"/>
  <c r="AC369" i="1"/>
  <c r="AC368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<sst xmlns="http://schemas.openxmlformats.org/spreadsheetml/2006/main" count="905" uniqueCount="489">
  <si>
    <t>シーズン</t>
  </si>
  <si>
    <t>データ</t>
  </si>
  <si>
    <t>クラブ</t>
  </si>
  <si>
    <t>大会</t>
  </si>
  <si>
    <t>順位</t>
  </si>
  <si>
    <t>選手</t>
  </si>
  <si>
    <t>試合数</t>
  </si>
  <si>
    <t>プレイ時間</t>
  </si>
  <si>
    <t>得点</t>
  </si>
  <si>
    <t>フィールドゴール</t>
  </si>
  <si>
    <t>2Pt</t>
  </si>
  <si>
    <t>3Pt</t>
  </si>
  <si>
    <t>フリースロー</t>
  </si>
  <si>
    <t>リバウンド</t>
  </si>
  <si>
    <t>アシスト</t>
  </si>
  <si>
    <t>ターンオーバー</t>
  </si>
  <si>
    <t>スティール</t>
  </si>
  <si>
    <t>ブロック</t>
  </si>
  <si>
    <t>ファウル</t>
  </si>
  <si>
    <t>貢献度</t>
  </si>
  <si>
    <t>G</t>
  </si>
  <si>
    <t>GS</t>
  </si>
  <si>
    <t>MIN</t>
  </si>
  <si>
    <t>MINPG</t>
  </si>
  <si>
    <t>PTS</t>
  </si>
  <si>
    <t>FGM</t>
  </si>
  <si>
    <t>FGA</t>
  </si>
  <si>
    <t>FG%</t>
  </si>
  <si>
    <t>2FGM</t>
  </si>
  <si>
    <t>2FGA</t>
  </si>
  <si>
    <t>+/-</t>
  </si>
  <si>
    <t>ジャレット・カルバー#8SG/SF</t>
  </si>
  <si>
    <t>仙台</t>
  </si>
  <si>
    <t>スタンリー・ジョンソン#14SF</t>
  </si>
  <si>
    <t>長崎</t>
  </si>
  <si>
    <t>富永 啓生#30SG</t>
  </si>
  <si>
    <t>北海道</t>
  </si>
  <si>
    <t>デイビッド・ヌワバ#2SG/SF</t>
  </si>
  <si>
    <t>三遠</t>
  </si>
  <si>
    <t>クリストファー・スミス#8SG/SF</t>
  </si>
  <si>
    <t>広島</t>
  </si>
  <si>
    <t>D.J・ニュービル#25PG/SG</t>
  </si>
  <si>
    <t>宇都宮</t>
  </si>
  <si>
    <t>トレイ・ケル#8SG</t>
  </si>
  <si>
    <t>富山</t>
  </si>
  <si>
    <t>マット・ボンズ#5PF</t>
  </si>
  <si>
    <t>大阪</t>
  </si>
  <si>
    <t>ザック・オーガスト#0C/PF</t>
  </si>
  <si>
    <t>滋賀</t>
  </si>
  <si>
    <t>セバスチャン・サイズ#11C/PF</t>
  </si>
  <si>
    <t>A東京</t>
  </si>
  <si>
    <t>アーロン・ヘンリー#11SF</t>
  </si>
  <si>
    <t>名古屋D</t>
  </si>
  <si>
    <t>ダバンテ・ガードナー#54C/PF</t>
  </si>
  <si>
    <t>三河</t>
  </si>
  <si>
    <t>イ ヒョンジュン#5SG/SF</t>
  </si>
  <si>
    <t>ニック・ケイ#4C/PF</t>
  </si>
  <si>
    <t>島根</t>
  </si>
  <si>
    <t>ブロック・モータム#12PF</t>
  </si>
  <si>
    <t>コフィ・コーバーン#23C</t>
  </si>
  <si>
    <t>ジャレル・ブラントリー#7PF</t>
  </si>
  <si>
    <t>ジョシュ・ホーキンソン#8C/PF</t>
  </si>
  <si>
    <t>SR渋谷</t>
  </si>
  <si>
    <t>ディー・ジェイ・ホグ#10SF/PF</t>
  </si>
  <si>
    <t>千葉J</t>
  </si>
  <si>
    <t>マーカス・フォスター#17SG</t>
  </si>
  <si>
    <t>ケリー・ブラックシアー・ジュニア#8C/PF</t>
  </si>
  <si>
    <t>群馬</t>
  </si>
  <si>
    <t>ダミアン・イングリス#4C/PF</t>
  </si>
  <si>
    <t>横浜BC</t>
  </si>
  <si>
    <t>ジェイク・レイマン#10SF/PF</t>
  </si>
  <si>
    <t>タナー・グローヴス#22C/PF</t>
  </si>
  <si>
    <t>佐賀</t>
  </si>
  <si>
    <t>ロバート・フランクス#0SF/PF</t>
  </si>
  <si>
    <t>茨城</t>
  </si>
  <si>
    <t>トーマス・ウィンブッシュ#20SF/PF</t>
  </si>
  <si>
    <t>ライアン・ルーサー#11C/PF</t>
  </si>
  <si>
    <t>デイビッド・ダジンスキー#23C/PF</t>
  </si>
  <si>
    <t>ヤニー・ウェッツェル#10C/PF</t>
  </si>
  <si>
    <t>秋田</t>
  </si>
  <si>
    <t>ナシール・リトル#8SF/PF</t>
  </si>
  <si>
    <t>安藤 誓哉#3PG</t>
  </si>
  <si>
    <t>ライアン・クリーナー#4PF</t>
  </si>
  <si>
    <t>アンソニー・クレモンズ#5PG</t>
  </si>
  <si>
    <t>越谷</t>
  </si>
  <si>
    <t>ロスコ・アレン#25SF/PF</t>
  </si>
  <si>
    <t>川崎</t>
  </si>
  <si>
    <t>ドウェイン・エバンス#13SF/PF</t>
  </si>
  <si>
    <t>ヴィック・ロー#4SF/PF</t>
  </si>
  <si>
    <t>琉球</t>
  </si>
  <si>
    <t>ショーン・オマラ#54C</t>
  </si>
  <si>
    <t>FE名古屋</t>
  </si>
  <si>
    <t>ヤニス・モラン#24C/PF</t>
  </si>
  <si>
    <t>渡邊 雄太#1SF/PF</t>
  </si>
  <si>
    <t>ジャック・クーリー#45C</t>
  </si>
  <si>
    <t>ジャモルコ・ピケット#0SF/PF</t>
  </si>
  <si>
    <t>ドゥシャン・リスティッチ#14C</t>
  </si>
  <si>
    <t>ドンテ・グランタム#1PF</t>
  </si>
  <si>
    <t>エリック・ジェイコブセン#21C/PF</t>
  </si>
  <si>
    <t>アイザック・フォトゥ#42PF</t>
  </si>
  <si>
    <t>コティ・クラーク#1PF</t>
  </si>
  <si>
    <t>齋藤 拓実#2PG</t>
  </si>
  <si>
    <t>馬場 雄大#18SG/SF</t>
  </si>
  <si>
    <t>ドワイト・ラモス#2SG/SF</t>
  </si>
  <si>
    <t>セクー・ドゥムブヤ#45SF/PF</t>
  </si>
  <si>
    <t>デレク・パードン#7C/PF</t>
  </si>
  <si>
    <t>A千葉</t>
  </si>
  <si>
    <t>松山 駿#7PG/SG</t>
  </si>
  <si>
    <t>ヤンテ・メイテン#1PF</t>
  </si>
  <si>
    <t>キーファー・ラベナ#15PG/SG</t>
  </si>
  <si>
    <t>レイ・パークスジュニア#1SG</t>
  </si>
  <si>
    <t>ギャビン・エドワーズ#33PF</t>
  </si>
  <si>
    <t>アンジェロ・カロイアロ#32SF/PF</t>
  </si>
  <si>
    <t>京都</t>
  </si>
  <si>
    <t>トレイ・ポーター#22C/PF</t>
  </si>
  <si>
    <t>セルジオ・エル ダーウィッチ#9SG</t>
  </si>
  <si>
    <t>ゲイリー・クラーク#8PF</t>
  </si>
  <si>
    <t>ネイサン・ブース#45C/PF</t>
  </si>
  <si>
    <t>比江島 慎#6SG</t>
  </si>
  <si>
    <t>角田 太輝#25SG</t>
  </si>
  <si>
    <t>西田 優大#19SG/SF</t>
  </si>
  <si>
    <t>チャールズ・ジャクソン#10C</t>
  </si>
  <si>
    <t>岸本 隆一#14PG/SG</t>
  </si>
  <si>
    <t>ケビン・ジョーンズ#5PF</t>
  </si>
  <si>
    <t>保岡 龍斗#23SG/SF</t>
  </si>
  <si>
    <t>アレックス・カーク#53C</t>
  </si>
  <si>
    <t>黒川 虎徹#3PG</t>
  </si>
  <si>
    <t>岡田 侑大#77PG/SG</t>
  </si>
  <si>
    <t>長谷川 暢#3PG</t>
  </si>
  <si>
    <t>スコット・エサトン#43C/PF</t>
  </si>
  <si>
    <t>エマニュエル・テリー#5C/PF</t>
  </si>
  <si>
    <t>安藤 周人#9SG</t>
  </si>
  <si>
    <t>富樫 勇樹#2PG</t>
  </si>
  <si>
    <t>メイヨ ニック#24C/PF</t>
  </si>
  <si>
    <t>ジェームズ・マイケル・マカドゥ#14C/PF</t>
  </si>
  <si>
    <t>グラント・ジェレット#34PF</t>
  </si>
  <si>
    <t>津山 尚大#13PG/SG</t>
  </si>
  <si>
    <t>今村 佳太#30SG/SF</t>
  </si>
  <si>
    <t>ジョン・ハーラー#21C/PF</t>
  </si>
  <si>
    <t>小川 麻斗#12PG</t>
  </si>
  <si>
    <t>ウィリアムス ニカ#6C</t>
  </si>
  <si>
    <t>中山 拓哉#17PG/SG</t>
  </si>
  <si>
    <t>藤井 祐眞#0PG/SG</t>
  </si>
  <si>
    <t>トレイ・ジョーンズ#4SF</t>
  </si>
  <si>
    <t>中村 拓人#6PG</t>
  </si>
  <si>
    <t>ジョーダン・ヒース#35C/PF</t>
  </si>
  <si>
    <t>アラン・ウィリアムズ#15C</t>
  </si>
  <si>
    <t>ベンドラメ 礼生#9PG/SG</t>
  </si>
  <si>
    <t>デイミアン・ドットソン#21SG</t>
  </si>
  <si>
    <t>エヴァンス ルーク#33PF</t>
  </si>
  <si>
    <t>ブーバカー・トゥーレ#21C</t>
  </si>
  <si>
    <t>トーマス・ケネディ#1SF/PF</t>
  </si>
  <si>
    <t>阿部 諒#13SG</t>
  </si>
  <si>
    <t>田中 大貴#13SG</t>
  </si>
  <si>
    <t>辻 直人#9SG</t>
  </si>
  <si>
    <t>大浦 颯太#5PG</t>
  </si>
  <si>
    <t>古川 孝敏#51SG/SF</t>
  </si>
  <si>
    <t>前田 悟#13SG</t>
  </si>
  <si>
    <t>アンドリュー・ランダル#33SF</t>
  </si>
  <si>
    <t>津屋 一球#28SG</t>
  </si>
  <si>
    <t>フランシス・ロペス#20SF</t>
  </si>
  <si>
    <t>三谷 桂司朗#34SF</t>
  </si>
  <si>
    <t>細川 一輝#29SG</t>
  </si>
  <si>
    <t>キャメロン・ジャクソン#7C/PF</t>
  </si>
  <si>
    <t>並里 成#3PG</t>
  </si>
  <si>
    <t>ジャレル・マーティン#1PF</t>
  </si>
  <si>
    <t>レイナルド・ガルシア#2PG</t>
  </si>
  <si>
    <t>カイル・リチャードソン#34C/PF</t>
  </si>
  <si>
    <t>游 艾喆#7PG</t>
  </si>
  <si>
    <t>ヨハネス・ティーマン#32PF</t>
  </si>
  <si>
    <t>駒沢 颯#7PG</t>
  </si>
  <si>
    <t>飯尾 文哉#22SG</t>
  </si>
  <si>
    <t>ジョン・ムーニー#33C/PF</t>
  </si>
  <si>
    <t>渡辺 翔太#15PG</t>
  </si>
  <si>
    <t>小酒部 泰暉#75SG</t>
  </si>
  <si>
    <t>トーマス・ウェルシュ#40C</t>
  </si>
  <si>
    <t>エージェー・エドゥ#15C/PF</t>
  </si>
  <si>
    <t>中村 太地#11PG/SG</t>
  </si>
  <si>
    <t>市場 脩斗#12PG/SG</t>
  </si>
  <si>
    <t>佐土原 遼#8SF/PF</t>
  </si>
  <si>
    <t>ジャン・ローレンス・ハーパージュニア#3PG</t>
  </si>
  <si>
    <t>宇都 直輝#11PG</t>
  </si>
  <si>
    <t>ヴォーディミル・ゲルン#52C/PF</t>
  </si>
  <si>
    <t>野本 大智#16PG</t>
  </si>
  <si>
    <t>原 修太#31SG/SF</t>
  </si>
  <si>
    <t>ディディ・ロウザダ#0SF</t>
  </si>
  <si>
    <t>長野 誠史#7PG</t>
  </si>
  <si>
    <t>納見 悠仁#21PG/SG</t>
  </si>
  <si>
    <t>篠山 竜青#7PG</t>
  </si>
  <si>
    <t>岡田 雄三#3PG</t>
  </si>
  <si>
    <t>杉本 慶#11PG</t>
  </si>
  <si>
    <t>カイ・ソット#11C</t>
  </si>
  <si>
    <t>久保田 義章#11PG</t>
  </si>
  <si>
    <t>アーロン・ホワイト#30C/PF</t>
  </si>
  <si>
    <t>吉井 裕鷹#10SF</t>
  </si>
  <si>
    <t>岡田 泰希#6PG/SG</t>
  </si>
  <si>
    <t>木下 誠#31PG/SG</t>
  </si>
  <si>
    <t>湧川 颯斗#14PG</t>
  </si>
  <si>
    <t>ライアン・ロシター#22C/PF</t>
  </si>
  <si>
    <t>アキル・ミッチェル#25C/PF</t>
  </si>
  <si>
    <t>高島 紳司#12SG</t>
  </si>
  <si>
    <t>杉本 天昇#10SG</t>
  </si>
  <si>
    <t>澁田 怜音#3PG</t>
  </si>
  <si>
    <t>ジェレミー・ジョーンズ#22SF</t>
  </si>
  <si>
    <t>須藤 昂矢#30SG</t>
  </si>
  <si>
    <t>前田 怜緒#5SG/SF</t>
  </si>
  <si>
    <t>金丸 晃輔#14SF</t>
  </si>
  <si>
    <t>ジョシュ・ハレルソン#55C/PF</t>
  </si>
  <si>
    <t>山口 颯斗#17SG/SF</t>
  </si>
  <si>
    <t>ブランドン・デイヴィス#0C</t>
  </si>
  <si>
    <t>根本 大#20PG</t>
  </si>
  <si>
    <t>島谷 怜#15PG</t>
  </si>
  <si>
    <t>アイザイア・マーフィー#5PG/SG</t>
  </si>
  <si>
    <t>熊谷 航#11PG</t>
  </si>
  <si>
    <t>中村 功平#13PG/SG</t>
  </si>
  <si>
    <t>松脇 圭志#15SG</t>
  </si>
  <si>
    <t>金近 廉#12SF</t>
  </si>
  <si>
    <t>須田 侑太郎#13SG/SF</t>
  </si>
  <si>
    <t>飯田 遼#17SG/SF</t>
  </si>
  <si>
    <t>船生 誠也#7PG/SG</t>
  </si>
  <si>
    <t>角野 亮伍#18SG/SF</t>
  </si>
  <si>
    <t>ザック・バランスキー#10SF/PF</t>
  </si>
  <si>
    <t>須藤 タイレル拓#6PG/SG</t>
  </si>
  <si>
    <t>遠藤 祐亮#9SG</t>
  </si>
  <si>
    <t>木田 貴明#0SF</t>
  </si>
  <si>
    <t>大庭 岳輝#14SG</t>
  </si>
  <si>
    <t>池田 祐一#12PG</t>
  </si>
  <si>
    <t>栗原 翼#2PG/SG</t>
  </si>
  <si>
    <t>ホール 百音 アレックス#39SF</t>
  </si>
  <si>
    <t>鈴木 達也#35PG</t>
  </si>
  <si>
    <t>坂本 聖芽#60PG/SG</t>
  </si>
  <si>
    <t>元田 大陽#12SG</t>
  </si>
  <si>
    <t>荒谷 裕秀#11SG/SF</t>
  </si>
  <si>
    <t>キング 開#23PG/SG</t>
  </si>
  <si>
    <t>佐々木 隆成#24PG/SG</t>
  </si>
  <si>
    <t>菊地 広人#6PG/SG</t>
  </si>
  <si>
    <t>笹山 貴哉#21PG</t>
  </si>
  <si>
    <t>ブランドン・アシュリー#21C/PF</t>
  </si>
  <si>
    <t>瀬川 琉久#5PG</t>
  </si>
  <si>
    <t>岡田 大河#55PG</t>
  </si>
  <si>
    <t>山内 ジャヘル琉人#45SG</t>
  </si>
  <si>
    <t>加藤 嵩都#3PG</t>
  </si>
  <si>
    <t>テーブス 海#3PG</t>
  </si>
  <si>
    <t>髙比良 寛治#24SG</t>
  </si>
  <si>
    <t>青木 保憲#4PG</t>
  </si>
  <si>
    <t>陳岡 流羽#10PG/SG</t>
  </si>
  <si>
    <t>西田 陽成#14SG</t>
  </si>
  <si>
    <t>ティム・シュナイダー#30PF</t>
  </si>
  <si>
    <t>岡島 和真#3PG</t>
  </si>
  <si>
    <t>中東 泰斗#12SG</t>
  </si>
  <si>
    <t>アリ・メザー#22PG</t>
  </si>
  <si>
    <t>大塚 裕土#24SG</t>
  </si>
  <si>
    <t>脇 真大#18SG</t>
  </si>
  <si>
    <t>小川 敦也#7PG</t>
  </si>
  <si>
    <t>宮本 一樹#7SF/PF</t>
  </si>
  <si>
    <t>大倉 颯太#2PG/SG</t>
  </si>
  <si>
    <t>内尾 聡理#18PG/SG</t>
  </si>
  <si>
    <t>牧 隼利#88PG/SG</t>
  </si>
  <si>
    <t>杉浦 佑成#14SF</t>
  </si>
  <si>
    <t>ジャメール・マクリーン#1C/PF</t>
  </si>
  <si>
    <t>菅原 暉#14PG</t>
  </si>
  <si>
    <t>山崎 稜#30SG</t>
  </si>
  <si>
    <t>野﨑 零也#12SG</t>
  </si>
  <si>
    <t>チェイス・フィーラー#60PF</t>
  </si>
  <si>
    <t>竹内 譲次#15C/PF</t>
  </si>
  <si>
    <t>井上 諒汰#34SF</t>
  </si>
  <si>
    <t>介川 アンソニー翔#7SF/PF</t>
  </si>
  <si>
    <t>常田 耕平#17PG</t>
  </si>
  <si>
    <t>上澤 俊喜#10PG</t>
  </si>
  <si>
    <t>福澤 晃平#25PG/SG</t>
  </si>
  <si>
    <t>オマール・ジャマレディン#1SG/SF</t>
  </si>
  <si>
    <t>大崎 裕太#16PG/SG</t>
  </si>
  <si>
    <t>トロイ・マーフィージュニア#4SG/SF</t>
  </si>
  <si>
    <t>コー・フリッピン#1PG/SG</t>
  </si>
  <si>
    <t>植松 義也#8SF/PF</t>
  </si>
  <si>
    <t>マリアル・シャヨク#1SG/SF</t>
  </si>
  <si>
    <t>小澤 飛悠#4SF</t>
  </si>
  <si>
    <t>小野寺 祥太#34PG/SG</t>
  </si>
  <si>
    <t>赤間 賢人#12SG</t>
  </si>
  <si>
    <t>川嶋 勇人#15SG</t>
  </si>
  <si>
    <t>荒川 颯#10PG/SG</t>
  </si>
  <si>
    <t>喜多川 修平#31SF</t>
  </si>
  <si>
    <t>寺嶋 良#0PG</t>
  </si>
  <si>
    <t>田中 晴瑛#17PG</t>
  </si>
  <si>
    <t>土屋 アリスター時生#77PF</t>
  </si>
  <si>
    <t>鵤 誠司#18PG</t>
  </si>
  <si>
    <t>米須 玲音#11PG</t>
  </si>
  <si>
    <t>佐藤 涼成#88PG</t>
  </si>
  <si>
    <t>河田 チリジ#15C</t>
  </si>
  <si>
    <t>田代 直希#4SG/SF</t>
  </si>
  <si>
    <t>ロバーツ ケイン#4PG/SG</t>
  </si>
  <si>
    <t>平松 克樹#12PG</t>
  </si>
  <si>
    <t>岸田 篤生#20PG</t>
  </si>
  <si>
    <t>中村 浩陸#5PG/SG</t>
  </si>
  <si>
    <t>渡邉 伶音#42SF/PF</t>
  </si>
  <si>
    <t>鶴巻 啓太#29SG/SF</t>
  </si>
  <si>
    <t>伊藤 達哉#3PG</t>
  </si>
  <si>
    <t>赤穂 雷太#6SG/SF</t>
  </si>
  <si>
    <t>関野 剛平#1SG/SF</t>
  </si>
  <si>
    <t>淺野 ケニー#16SF</t>
  </si>
  <si>
    <t>ギャリソン・ブルックス#15C/PF</t>
  </si>
  <si>
    <t>新井 翔太#5PG</t>
  </si>
  <si>
    <t>マックス・ヒサタケ#29PF</t>
  </si>
  <si>
    <t>ジャワラ ジョゼフ#8PF</t>
  </si>
  <si>
    <t>ジョーダン・ナタイ#20SF/PF</t>
  </si>
  <si>
    <t>シェーファー アヴィ幸樹#32C</t>
  </si>
  <si>
    <t>晴山 ケビン#32SF</t>
  </si>
  <si>
    <t>川真田 紘也#99C</t>
  </si>
  <si>
    <t>菅原 佳依#28SF</t>
  </si>
  <si>
    <t>石井 講祐#27SG</t>
  </si>
  <si>
    <t>竹内 公輔#10C/PF</t>
  </si>
  <si>
    <t>アイラ・ブラウン#33SF/PF</t>
  </si>
  <si>
    <t>熊谷 尚也#27SF</t>
  </si>
  <si>
    <t>マイク・コッツァー#21C/PF</t>
  </si>
  <si>
    <t>小島 元基#1PG</t>
  </si>
  <si>
    <t>江原 信太朗#25SF</t>
  </si>
  <si>
    <t>谷口 大智#55C/PF</t>
  </si>
  <si>
    <t>児玉 ジュニア#33PG/SG</t>
  </si>
  <si>
    <t>森井 健太#18PG</t>
  </si>
  <si>
    <t>張本 天傑#8SF/PF</t>
  </si>
  <si>
    <t>ヤン ジェミン#9SF</t>
  </si>
  <si>
    <t>久岡 幸太郎#14PG</t>
  </si>
  <si>
    <t>マシュー・アキノ#13PF</t>
  </si>
  <si>
    <t>井上 宗一郎#75PF</t>
  </si>
  <si>
    <t>田原 隆徳#21PG</t>
  </si>
  <si>
    <t>長谷川 比源#34SF/PF</t>
  </si>
  <si>
    <t>アンジェロ・チョル#27PF</t>
  </si>
  <si>
    <t>岩屋 頼#18PG</t>
  </si>
  <si>
    <t>谷口 光貴#7SG/SF</t>
  </si>
  <si>
    <t>星川 開聖#17SF</t>
  </si>
  <si>
    <t>新井 楽人#6SG/SF</t>
  </si>
  <si>
    <t>松崎 裕樹#24SG/SF</t>
  </si>
  <si>
    <t>狩俣 昌也#4PG</t>
  </si>
  <si>
    <t>葛原 大智#25SG/SF</t>
  </si>
  <si>
    <t>浅井 英矢#11SF</t>
  </si>
  <si>
    <t>堀田 尚秀#7SG</t>
  </si>
  <si>
    <t>合田 怜#20PG/SG</t>
  </si>
  <si>
    <t>鎌田 裕也#18C/PF</t>
  </si>
  <si>
    <t>松本 健児リオン#1SG</t>
  </si>
  <si>
    <t>星川 堅信#13SF</t>
  </si>
  <si>
    <t>長谷川 技#33SF</t>
  </si>
  <si>
    <t>伊久江 ロイ英輝#2SF/PF</t>
  </si>
  <si>
    <t>崎濱 秀斗#17PG</t>
  </si>
  <si>
    <t>田口 成浩#5SG</t>
  </si>
  <si>
    <t>クエンティン・ミロラ・ブラウン#42C</t>
  </si>
  <si>
    <t>水野 幹太#3PG/SG</t>
  </si>
  <si>
    <t>ダマ ムッサ#25C/PF</t>
  </si>
  <si>
    <t>木林 優#8PF</t>
  </si>
  <si>
    <t>白濱 僚祐#15SG/SF</t>
  </si>
  <si>
    <t>野本 建吾#10PF</t>
  </si>
  <si>
    <t>藤永 佳昭#2PG</t>
  </si>
  <si>
    <t>泉 登翔#14SG</t>
  </si>
  <si>
    <t>岩下 准平#2PG</t>
  </si>
  <si>
    <t>森田 雄次#6PG</t>
  </si>
  <si>
    <t>富山 仁貴#21SF/PF</t>
  </si>
  <si>
    <t>四家 魁人#4PG</t>
  </si>
  <si>
    <t>山内 盛久#32PG</t>
  </si>
  <si>
    <t>渡辺 竜之佑#16PG/SG</t>
  </si>
  <si>
    <t>大庭 圭太郎#18PG</t>
  </si>
  <si>
    <t>星野 京介#14SG</t>
  </si>
  <si>
    <t>渡部 琉#21SF</t>
  </si>
  <si>
    <t>西部 秀馬#7SG/SF</t>
  </si>
  <si>
    <t>ジェイク幸輝・ホルツ#23SF</t>
  </si>
  <si>
    <t>狩野 富成#14C</t>
  </si>
  <si>
    <t>水戸 健史#9SG</t>
  </si>
  <si>
    <t>小針 幸也#2PG</t>
  </si>
  <si>
    <t>北川 弘#6PG</t>
  </si>
  <si>
    <t>渡邉 裕規#13PG</t>
  </si>
  <si>
    <t>上田 隼輔#20SF</t>
  </si>
  <si>
    <t>佐藤 卓磨#14SG/SF</t>
  </si>
  <si>
    <t>兪 龍海#51SF</t>
  </si>
  <si>
    <t>半澤 凌太#23SF</t>
  </si>
  <si>
    <t>市岡 ショーン#22C/PF</t>
  </si>
  <si>
    <t>平岩 玄#21C</t>
  </si>
  <si>
    <t>長谷川 智也#8SG</t>
  </si>
  <si>
    <t>ラシード ファラーズ#24SF/PF</t>
  </si>
  <si>
    <t>盛實 海翔#34SG</t>
  </si>
  <si>
    <t>月岡 熙#11PG</t>
  </si>
  <si>
    <t>針間 大知#5SG</t>
  </si>
  <si>
    <t>平良 彰吾#47PG</t>
  </si>
  <si>
    <t>神田 壮一郎#17SG/SF</t>
  </si>
  <si>
    <t>西村 文男#11PG</t>
  </si>
  <si>
    <t>高橋 快成#7PG</t>
  </si>
  <si>
    <t>横地 聖真#17SF</t>
  </si>
  <si>
    <t>大森 康瑛#77SF</t>
  </si>
  <si>
    <t>内藤 耀悠#18SF</t>
  </si>
  <si>
    <t>石川 裕大#15PG</t>
  </si>
  <si>
    <t>市川 真人#1C/PF</t>
  </si>
  <si>
    <t>新沼 康生#24SF</t>
  </si>
  <si>
    <t>菊地 祥平#13SF</t>
  </si>
  <si>
    <t>小野 龍猛#0SF</t>
  </si>
  <si>
    <t>二上 耀#9SG</t>
  </si>
  <si>
    <t>橋本 晃佑#7PF</t>
  </si>
  <si>
    <t>永吉 佑也#43C/PF</t>
  </si>
  <si>
    <t>三ツ井 利也#10SF</t>
  </si>
  <si>
    <t>前野 幹太#10SF/PF</t>
  </si>
  <si>
    <t>青木 ブレイク#11PF</t>
  </si>
  <si>
    <t>伊藤 治輝#7PF</t>
  </si>
  <si>
    <t>平尾 充庸#25PG</t>
  </si>
  <si>
    <t>今西 優斗#7PG</t>
  </si>
  <si>
    <t>山下 泰弘#5PG</t>
  </si>
  <si>
    <t>佐古 竜誠#14PG</t>
  </si>
  <si>
    <t>田臥 勇太#0PG</t>
  </si>
  <si>
    <t>マイロ・マーフィー#15PG/SG</t>
  </si>
  <si>
    <t>岡本 飛竜#24PG</t>
  </si>
  <si>
    <t>佐藤 誠人#14SF</t>
  </si>
  <si>
    <t>鎌田 隼#21SG/SF</t>
  </si>
  <si>
    <t>加藤 ダニエル#44C/PF</t>
  </si>
  <si>
    <t>堀 陽稀#13SG/SF</t>
  </si>
  <si>
    <t>深水 虎太郎#13SF</t>
  </si>
  <si>
    <t>荒尾 岳#25PF</t>
  </si>
  <si>
    <t>村越 圭佑#92PF</t>
  </si>
  <si>
    <t>江原 行佐#77SF</t>
  </si>
  <si>
    <t>鈴木 悠介#21PF</t>
  </si>
  <si>
    <t>佐取 龍之介#77SG/SF</t>
  </si>
  <si>
    <t>阿部 真冴橙#96PG/SG</t>
  </si>
  <si>
    <t>佐藤 凪#11PG</t>
  </si>
  <si>
    <t>田中 流嘉州#32SF/PF</t>
  </si>
  <si>
    <t>坂井 レオ#13C/PF</t>
  </si>
  <si>
    <t>宇都宮 陸#9PG</t>
  </si>
  <si>
    <t>菅澤 紀行#10PF</t>
  </si>
  <si>
    <t>西村 優真#40SG/SF</t>
  </si>
  <si>
    <t>武富 楓太#11PG</t>
  </si>
  <si>
    <t>元澤 誠#5SG/SF</t>
  </si>
  <si>
    <t>ウィタカ ケンタ#27C/PF</t>
  </si>
  <si>
    <t>佐藤 瑠一シャンドレイ#11SG/SF</t>
  </si>
  <si>
    <t>25-26</t>
    <phoneticPr fontId="1"/>
  </si>
  <si>
    <t>合計</t>
    <rPh sb="0" eb="2">
      <t>ゴウケイ</t>
    </rPh>
    <phoneticPr fontId="1"/>
  </si>
  <si>
    <t>すべて</t>
    <phoneticPr fontId="1"/>
  </si>
  <si>
    <t>全て</t>
    <rPh sb="0" eb="1">
      <t>スベ</t>
    </rPh>
    <phoneticPr fontId="1"/>
  </si>
  <si>
    <t>B１リーグ</t>
    <phoneticPr fontId="1"/>
  </si>
  <si>
    <t>https://www.bleague.jp/stats/?year=2025&amp;tab=1&amp;target=player-b1&amp;value=TotalPoints&amp;o=desc&amp;e=2&amp;dt=tot</t>
  </si>
  <si>
    <t>引用元</t>
    <rPh sb="0" eb="3">
      <t>インヨウモト</t>
    </rPh>
    <phoneticPr fontId="1"/>
  </si>
  <si>
    <t>ﾎﾟｼﾞｼｮﾝ</t>
    <phoneticPr fontId="1"/>
  </si>
  <si>
    <t>G順位</t>
    <rPh sb="1" eb="3">
      <t>ジュンイ</t>
    </rPh>
    <phoneticPr fontId="1"/>
  </si>
  <si>
    <t>GS順位</t>
    <rPh sb="2" eb="4">
      <t>ジュンイ</t>
    </rPh>
    <phoneticPr fontId="1"/>
  </si>
  <si>
    <t>MIN順位</t>
    <rPh sb="3" eb="5">
      <t>ジュンイ</t>
    </rPh>
    <phoneticPr fontId="1"/>
  </si>
  <si>
    <t>MINPG順位</t>
    <rPh sb="5" eb="7">
      <t>ジュンイ</t>
    </rPh>
    <phoneticPr fontId="1"/>
  </si>
  <si>
    <t>PTS順位</t>
    <rPh sb="3" eb="5">
      <t>ジュンイ</t>
    </rPh>
    <phoneticPr fontId="1"/>
  </si>
  <si>
    <t>FGM順位</t>
    <rPh sb="3" eb="5">
      <t>ジュンイ</t>
    </rPh>
    <phoneticPr fontId="1"/>
  </si>
  <si>
    <t>FGA順位</t>
    <rPh sb="3" eb="5">
      <t>ジュンイ</t>
    </rPh>
    <phoneticPr fontId="1"/>
  </si>
  <si>
    <t>FG%順位</t>
    <rPh sb="3" eb="5">
      <t>ジュンイ</t>
    </rPh>
    <phoneticPr fontId="1"/>
  </si>
  <si>
    <t>2FGM順位</t>
    <rPh sb="4" eb="6">
      <t>ジュンイ</t>
    </rPh>
    <phoneticPr fontId="1"/>
  </si>
  <si>
    <t>2FGA順位</t>
    <rPh sb="4" eb="6">
      <t>ジュンイ</t>
    </rPh>
    <phoneticPr fontId="1"/>
  </si>
  <si>
    <t>2FG%</t>
    <phoneticPr fontId="1"/>
  </si>
  <si>
    <t>2FG%順位</t>
    <rPh sb="4" eb="6">
      <t>ジュンイ</t>
    </rPh>
    <phoneticPr fontId="1"/>
  </si>
  <si>
    <t>3FGM</t>
    <phoneticPr fontId="1"/>
  </si>
  <si>
    <t>3FGM順位</t>
    <rPh sb="4" eb="6">
      <t>ジュ</t>
    </rPh>
    <phoneticPr fontId="1"/>
  </si>
  <si>
    <t>3FGA</t>
    <phoneticPr fontId="1"/>
  </si>
  <si>
    <t>3FGA順位</t>
    <rPh sb="4" eb="6">
      <t>ジュ</t>
    </rPh>
    <phoneticPr fontId="1"/>
  </si>
  <si>
    <t>3FG%</t>
    <phoneticPr fontId="1"/>
  </si>
  <si>
    <t>3FG%順位</t>
    <rPh sb="4" eb="6">
      <t>ジュ</t>
    </rPh>
    <phoneticPr fontId="1"/>
  </si>
  <si>
    <t>FTM</t>
    <phoneticPr fontId="1"/>
  </si>
  <si>
    <t>FTM順位</t>
    <rPh sb="3" eb="5">
      <t>ジュ</t>
    </rPh>
    <phoneticPr fontId="1"/>
  </si>
  <si>
    <t>FTA</t>
    <phoneticPr fontId="1"/>
  </si>
  <si>
    <t>FTA順位</t>
    <rPh sb="3" eb="5">
      <t>ジュ</t>
    </rPh>
    <phoneticPr fontId="1"/>
  </si>
  <si>
    <t>FT%</t>
    <phoneticPr fontId="1"/>
  </si>
  <si>
    <t>FT%順位</t>
    <rPh sb="3" eb="5">
      <t>ジュ</t>
    </rPh>
    <phoneticPr fontId="1"/>
  </si>
  <si>
    <t>OR</t>
    <phoneticPr fontId="1"/>
  </si>
  <si>
    <t>OR順位</t>
    <rPh sb="2" eb="4">
      <t>ジュ</t>
    </rPh>
    <phoneticPr fontId="1"/>
  </si>
  <si>
    <t>DR</t>
    <phoneticPr fontId="1"/>
  </si>
  <si>
    <t>DR順位</t>
    <rPh sb="2" eb="4">
      <t>ジュ</t>
    </rPh>
    <phoneticPr fontId="1"/>
  </si>
  <si>
    <t>TR</t>
    <phoneticPr fontId="1"/>
  </si>
  <si>
    <t>TR順位</t>
    <rPh sb="2" eb="4">
      <t>ジュ</t>
    </rPh>
    <phoneticPr fontId="1"/>
  </si>
  <si>
    <t>AS</t>
    <phoneticPr fontId="1"/>
  </si>
  <si>
    <t>AS順位</t>
    <rPh sb="2" eb="4">
      <t>ジュ</t>
    </rPh>
    <phoneticPr fontId="1"/>
  </si>
  <si>
    <t>TO</t>
    <phoneticPr fontId="1"/>
  </si>
  <si>
    <t>TO順位</t>
    <rPh sb="2" eb="4">
      <t>ジュ</t>
    </rPh>
    <phoneticPr fontId="1"/>
  </si>
  <si>
    <t>ST</t>
    <phoneticPr fontId="1"/>
  </si>
  <si>
    <t>ST順位</t>
    <rPh sb="2" eb="4">
      <t>ジュ</t>
    </rPh>
    <phoneticPr fontId="1"/>
  </si>
  <si>
    <t>BS</t>
    <phoneticPr fontId="1"/>
  </si>
  <si>
    <t>BS順位</t>
    <rPh sb="2" eb="4">
      <t>ジュ</t>
    </rPh>
    <phoneticPr fontId="1"/>
  </si>
  <si>
    <t>BSR</t>
    <phoneticPr fontId="1"/>
  </si>
  <si>
    <t>BSR順位</t>
    <rPh sb="3" eb="5">
      <t>ジュ</t>
    </rPh>
    <phoneticPr fontId="1"/>
  </si>
  <si>
    <t>F</t>
    <phoneticPr fontId="1"/>
  </si>
  <si>
    <t>F順位</t>
    <rPh sb="1" eb="3">
      <t>ジュ</t>
    </rPh>
    <phoneticPr fontId="1"/>
  </si>
  <si>
    <t>FD</t>
    <phoneticPr fontId="1"/>
  </si>
  <si>
    <t>FD順位</t>
    <rPh sb="2" eb="4">
      <t>ジュ</t>
    </rPh>
    <phoneticPr fontId="1"/>
  </si>
  <si>
    <t>EFF</t>
    <phoneticPr fontId="1"/>
  </si>
  <si>
    <t>EFF順位</t>
    <rPh sb="3" eb="5">
      <t>ジュ</t>
    </rPh>
    <phoneticPr fontId="1"/>
  </si>
  <si>
    <t>+/-順位</t>
    <rPh sb="3" eb="5">
      <t>ジュ</t>
    </rPh>
    <phoneticPr fontId="1"/>
  </si>
  <si>
    <t>チーム名</t>
    <rPh sb="3" eb="4">
      <t>メイ</t>
    </rPh>
    <phoneticPr fontId="1"/>
  </si>
  <si>
    <t>人数</t>
    <rPh sb="0" eb="2">
      <t>ニンズウ</t>
    </rPh>
    <phoneticPr fontId="1"/>
  </si>
  <si>
    <t>平均値</t>
    <rPh sb="0" eb="3">
      <t>ヘイキ</t>
    </rPh>
    <phoneticPr fontId="1"/>
  </si>
  <si>
    <t>最大値</t>
    <rPh sb="0" eb="3">
      <t>サイダイチ</t>
    </rPh>
    <phoneticPr fontId="1"/>
  </si>
  <si>
    <t>第3四分位数</t>
    <rPh sb="0" eb="1">
      <t>ダイ</t>
    </rPh>
    <rPh sb="2" eb="6">
      <t>シブンイスウ</t>
    </rPh>
    <phoneticPr fontId="1"/>
  </si>
  <si>
    <t>中央値</t>
    <rPh sb="0" eb="3">
      <t>チュウオウチ</t>
    </rPh>
    <phoneticPr fontId="1"/>
  </si>
  <si>
    <t>第1四分位数</t>
    <rPh sb="0" eb="1">
      <t>ダイ</t>
    </rPh>
    <rPh sb="2" eb="6">
      <t>シブンイスウ</t>
    </rPh>
    <phoneticPr fontId="1"/>
  </si>
  <si>
    <t>最小値</t>
    <rPh sb="0" eb="3">
      <t>サイショウチ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</si>
</sst>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11"/>
      <color rgb="FF222222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46" fontId="0" fillId="0" borderId="1" xfId="0" applyNumberFormat="1" applyBorder="1">
      <alignment vertical="center"/>
    </xf>
    <xf numFmtId="10" fontId="0" fillId="0" borderId="1" xfId="0" applyNumberFormat="1" applyBorder="1">
      <alignment vertical="center"/>
    </xf>
    <xf numFmtId="20" fontId="0" fillId="0" borderId="1" xfId="0" applyNumberFormat="1" applyBorder="1">
      <alignment vertical="center"/>
    </xf>
    <xf numFmtId="0" fontId="0" fillId="0" borderId="1" xfId="0" quotePrefix="1" applyBorder="1">
      <alignment vertical="center"/>
    </xf>
    <xf numFmtId="0" fontId="3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2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  <cx:data id="1">
      <cx:numDim type="val">
        <cx:f>_xlchart.v1.17</cx:f>
      </cx:numDim>
    </cx:data>
  </cx:chartData>
  <cx:chart>
    <cx:title pos="t" align="ctr" overlay="0">
      <cx:tx>
        <cx:txData>
          <cx:v>試合数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rPr>
            <a:t>試合数</a:t>
          </a:r>
        </a:p>
      </cx:txPr>
    </cx:title>
    <cx:plotArea>
      <cx:plotAreaRegion>
        <cx:series layoutId="boxWhisker" uniqueId="{00000000-2F4F-4B41-ABAF-77C620A6E3A6}">
          <cx:tx>
            <cx:txData>
              <cx:f>_xlchart.v1.14</cx:f>
              <cx:v>G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2F4F-4B41-ABAF-77C620A6E3A6}">
          <cx:tx>
            <cx:txData>
              <cx:f>_xlchart.v1.16</cx:f>
              <cx:v>GS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プレイ時間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rPr>
            <a:t>プレイ時間</a:t>
          </a:r>
        </a:p>
      </cx:txPr>
    </cx:title>
    <cx:plotArea>
      <cx:plotAreaRegion>
        <cx:series layoutId="boxWhisker" uniqueId="{00000000-27DB-48B8-A458-63D55669BF4C}">
          <cx:tx>
            <cx:txData>
              <cx:f>_xlchart.v1.0</cx:f>
              <cx:v>MIN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27DB-48B8-A458-63D55669BF4C}">
          <cx:tx>
            <cx:txData>
              <cx:f>_xlchart.v1.2</cx:f>
              <cx:v>MINPG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得点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rPr>
            <a:t>得点</a:t>
          </a:r>
        </a:p>
      </cx:txPr>
    </cx:title>
    <cx:plotArea>
      <cx:plotAreaRegion>
        <cx:series layoutId="boxWhisker" uniqueId="{00000000-4209-4413-A688-72F23154F077}">
          <cx:tx>
            <cx:txData>
              <cx:f>_xlchart.v1.4</cx:f>
              <cx:v>PTS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_xlchart.v1.35</cx:f>
      </cx:numDim>
    </cx:data>
    <cx:data id="1">
      <cx:numDim type="val">
        <cx:f>_xlchart.v1.37</cx:f>
      </cx:numDim>
    </cx:data>
  </cx:chartData>
  <cx:chart>
    <cx:title pos="t" align="ctr" overlay="0">
      <cx:tx>
        <cx:txData>
          <cx:v>フィールドゴール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rPr>
            <a:t>フィールドゴール</a:t>
          </a:r>
        </a:p>
      </cx:txPr>
    </cx:title>
    <cx:plotArea>
      <cx:plotAreaRegion>
        <cx:series layoutId="boxWhisker" uniqueId="{00000000-7F06-4193-97AF-7BBE04366522}">
          <cx:tx>
            <cx:txData>
              <cx:f>_xlchart.v1.34</cx:f>
              <cx:v>FGM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7F06-4193-97AF-7BBE04366522}">
          <cx:tx>
            <cx:txData>
              <cx:f>_xlchart.v1.36</cx:f>
              <cx:v>FGA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_xlchart.v1.59</cx:f>
      </cx:numDim>
    </cx:data>
  </cx:chartData>
  <cx:chart>
    <cx:title pos="t" align="ctr" overlay="0">
      <cx:tx>
        <cx:txData>
          <cx:v>フィールドゴール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rPr>
            <a:t>フィールドゴール</a:t>
          </a:r>
        </a:p>
      </cx:txPr>
    </cx:title>
    <cx:plotArea>
      <cx:plotAreaRegion>
        <cx:series layoutId="boxWhisker" uniqueId="{00000000-8A23-4BEB-81B5-92C76B005447}">
          <cx:tx>
            <cx:txData>
              <cx:f>_xlchart.v1.58</cx:f>
              <cx:v>3FG%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  <cx:data id="1">
      <cx:numDim type="val">
        <cx:f>_xlchart.v1.29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2Pt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endParaRPr>
          </a:p>
        </cx:rich>
      </cx:tx>
    </cx:title>
    <cx:plotArea>
      <cx:plotAreaRegion>
        <cx:series layoutId="boxWhisker" uniqueId="{00000000-A616-4ABA-970C-229503228BD6}">
          <cx:tx>
            <cx:txData>
              <cx:f>_xlchart.v1.26</cx:f>
              <cx:v>2FGM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A616-4ABA-970C-229503228BD6}">
          <cx:tx>
            <cx:txData>
              <cx:f>_xlchart.v1.28</cx:f>
              <cx:v>2FGA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2Pt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endParaRPr>
          </a:p>
        </cx:rich>
      </cx:tx>
    </cx:title>
    <cx:plotArea>
      <cx:plotAreaRegion>
        <cx:series layoutId="boxWhisker" uniqueId="{00000000-F2F7-4B1D-8AC6-C4BADC0086D9}">
          <cx:tx>
            <cx:txData>
              <cx:f>_xlchart.v1.38</cx:f>
              <cx:v>2FG%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_xlchart.v1.33</cx:f>
      </cx:numDim>
    </cx:data>
    <cx:data id="1">
      <cx:numDim type="val">
        <cx:f>_xlchart.v1.31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3Pt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endParaRPr>
          </a:p>
        </cx:rich>
      </cx:tx>
    </cx:title>
    <cx:plotArea>
      <cx:plotAreaRegion>
        <cx:series layoutId="boxWhisker" uniqueId="{00000000-0BA3-4F49-93CB-86BA9C9EAFFF}">
          <cx:tx>
            <cx:txData>
              <cx:f>_xlchart.v1.32</cx:f>
              <cx:v>3FGM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0BA3-4F49-93CB-86BA9C9EAFFF}">
          <cx:tx>
            <cx:txData>
              <cx:f>_xlchart.v1.30</cx:f>
              <cx:v>3FGA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3Pt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endParaRPr>
          </a:p>
        </cx:rich>
      </cx:tx>
    </cx:title>
    <cx:plotArea>
      <cx:plotAreaRegion>
        <cx:series layoutId="boxWhisker" uniqueId="{00000000-B75C-41BE-A49D-B3F46120BA30}">
          <cx:tx>
            <cx:txData>
              <cx:f>_xlchart.v1.72</cx:f>
              <cx:v>3FG%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  <cx:data id="1">
      <cx:numDim type="val">
        <cx:f>_xlchart.v1.25</cx:f>
      </cx:numDim>
    </cx:data>
  </cx:chartData>
  <cx:chart>
    <cx:title pos="t" align="ctr" overlay="0">
      <cx:tx>
        <cx:txData>
          <cx:v>フリースロー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rPr>
            <a:t>フリースロー</a:t>
          </a:r>
        </a:p>
      </cx:txPr>
    </cx:title>
    <cx:plotArea>
      <cx:plotAreaRegion>
        <cx:series layoutId="boxWhisker" uniqueId="{00000000-411B-4C67-9D9E-B4DF96739069}">
          <cx:tx>
            <cx:txData>
              <cx:f>_xlchart.v1.22</cx:f>
              <cx:v>FTM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411B-4C67-9D9E-B4DF96739069}">
          <cx:tx>
            <cx:txData>
              <cx:f>_xlchart.v1.24</cx:f>
              <cx:v>FTA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_xlchart.v1.55</cx:f>
      </cx:numDim>
    </cx:data>
  </cx:chartData>
  <cx:chart>
    <cx:title pos="t" align="ctr" overlay="0">
      <cx:tx>
        <cx:txData>
          <cx:v>フリースロー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rPr>
            <a:t>フリースロー</a:t>
          </a:r>
        </a:p>
      </cx:txPr>
    </cx:title>
    <cx:plotArea>
      <cx:plotAreaRegion>
        <cx:series layoutId="boxWhisker" uniqueId="{00000000-B9A9-40E8-85E2-AB9364CFA100}">
          <cx:tx>
            <cx:txData>
              <cx:f>_xlchart.v1.54</cx:f>
              <cx:v>FT%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_xlchart.v1.43</cx:f>
      </cx:numDim>
    </cx:data>
    <cx:data id="1">
      <cx:numDim type="val">
        <cx:f>_xlchart.v1.45</cx:f>
      </cx:numDim>
    </cx:data>
    <cx:data id="2">
      <cx:numDim type="val">
        <cx:f>_xlchart.v1.47</cx:f>
      </cx:numDim>
    </cx:data>
  </cx:chartData>
  <cx:chart>
    <cx:title pos="t" align="ctr" overlay="0">
      <cx:tx>
        <cx:txData>
          <cx:v>リバウンド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rPr>
            <a:t>リバウンド</a:t>
          </a:r>
        </a:p>
      </cx:txPr>
    </cx:title>
    <cx:plotArea>
      <cx:plotAreaRegion>
        <cx:series layoutId="boxWhisker" uniqueId="{00000000-559D-4441-8BBD-5ABAC2AEBCA2}">
          <cx:tx>
            <cx:txData>
              <cx:f>_xlchart.v1.42</cx:f>
              <cx:v>OR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559D-4441-8BBD-5ABAC2AEBCA2}">
          <cx:tx>
            <cx:txData>
              <cx:f>_xlchart.v1.44</cx:f>
              <cx:v>DR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559D-4441-8BBD-5ABAC2AEBCA2}">
          <cx:tx>
            <cx:txData>
              <cx:f>_xlchart.v1.46</cx:f>
              <cx:v>TR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_xlchart.v1.49</cx:f>
      </cx:numDim>
    </cx:data>
    <cx:data id="1">
      <cx:numDim type="val">
        <cx:f>_xlchart.v1.51</cx:f>
      </cx:numDim>
    </cx:data>
    <cx:data id="2">
      <cx:numDim type="val">
        <cx:f>_xlchart.v1.53</cx:f>
      </cx:numDim>
    </cx:data>
  </cx:chartData>
  <cx:chart>
    <cx:title pos="t" align="ctr" overlay="0">
      <cx:tx>
        <cx:txData>
          <cx:v>アシスト・ターンオーバー・スティール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rPr>
            <a:t>アシスト・ターンオーバー・スティール</a:t>
          </a:r>
        </a:p>
      </cx:txPr>
    </cx:title>
    <cx:plotArea>
      <cx:plotAreaRegion>
        <cx:series layoutId="boxWhisker" uniqueId="{00000000-F61E-4DA0-A01D-B93F65BD4EDC}">
          <cx:tx>
            <cx:txData>
              <cx:f>_xlchart.v1.48</cx:f>
              <cx:v>AS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F61E-4DA0-A01D-B93F65BD4EDC}">
          <cx:tx>
            <cx:txData>
              <cx:f>_xlchart.v1.50</cx:f>
              <cx:v>TO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F61E-4DA0-A01D-B93F65BD4EDC}">
          <cx:tx>
            <cx:txData>
              <cx:f>_xlchart.v1.52</cx:f>
              <cx:v>ST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_xlchart.v1.13</cx:f>
      </cx:numDim>
    </cx:data>
  </cx:chartData>
  <cx:chart>
    <cx:title pos="t" align="ctr" overlay="0">
      <cx:tx>
        <cx:txData>
          <cx:v>ブロック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rPr>
            <a:t>ブロック</a:t>
          </a:r>
        </a:p>
      </cx:txPr>
    </cx:title>
    <cx:plotArea>
      <cx:plotAreaRegion>
        <cx:series layoutId="boxWhisker" uniqueId="{00000000-247C-46F8-B89A-9B8D27FAB407}">
          <cx:tx>
            <cx:txData>
              <cx:f>_xlchart.v1.10</cx:f>
              <cx:v>BS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247C-46F8-B89A-9B8D27FAB407}">
          <cx:tx>
            <cx:txData>
              <cx:f>_xlchart.v1.12</cx:f>
              <cx:v>BSR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  <cx:data id="1">
      <cx:numDim type="val">
        <cx:f>_xlchart.v1.21</cx:f>
      </cx:numDim>
    </cx:data>
  </cx:chartData>
  <cx:chart>
    <cx:title pos="t" align="ctr" overlay="0">
      <cx:tx>
        <cx:txData>
          <cx:v>ファウル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rPr>
            <a:t>ファウル</a:t>
          </a:r>
        </a:p>
      </cx:txPr>
    </cx:title>
    <cx:plotArea>
      <cx:plotAreaRegion>
        <cx:series layoutId="boxWhisker" uniqueId="{00000000-06E6-483D-94FE-7E5C3C0C8F92}">
          <cx:tx>
            <cx:txData>
              <cx:f>_xlchart.v1.18</cx:f>
              <cx:v>F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06E6-483D-94FE-7E5C3C0C8F92}">
          <cx:tx>
            <cx:txData>
              <cx:f>_xlchart.v1.20</cx:f>
              <cx:v>FD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_xlchart.v1.81</cx:f>
      </cx:numDim>
    </cx:data>
  </cx:chartData>
  <cx:chart>
    <cx:title pos="t" align="ctr" overlay="0">
      <cx:tx>
        <cx:txData>
          <cx:v>貢献度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rPr>
            <a:t>貢献度</a:t>
          </a:r>
        </a:p>
      </cx:txPr>
    </cx:title>
    <cx:plotArea>
      <cx:plotAreaRegion>
        <cx:series layoutId="boxWhisker" uniqueId="{00000000-CF4F-4180-AB50-F0060AAE95EB}">
          <cx:tx>
            <cx:txData>
              <cx:f>_xlchart.v1.80</cx:f>
              <cx:v>EFF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_xlchart.v1.83</cx:f>
      </cx:numDim>
    </cx:data>
  </cx:chartData>
  <cx:chart>
    <cx:title pos="t" align="ctr" overlay="0">
      <cx:tx>
        <cx:txData>
          <cx:v>貢献度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rPr>
            <a:t>貢献度</a:t>
          </a:r>
        </a:p>
      </cx:txPr>
    </cx:title>
    <cx:plotArea>
      <cx:plotAreaRegion>
        <cx:series layoutId="boxWhisker" uniqueId="{00000000-5D3B-4578-A72D-0E6AD7A8A7BA}">
          <cx:tx>
            <cx:txData>
              <cx:f>_xlchart.v1.82</cx:f>
              <cx:v>+/-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7.xml"/><Relationship Id="rId13" Type="http://schemas.microsoft.com/office/2014/relationships/chartEx" Target="../charts/chartEx12.xml"/><Relationship Id="rId18" Type="http://schemas.microsoft.com/office/2014/relationships/chartEx" Target="../charts/chartEx17.xml"/><Relationship Id="rId3" Type="http://schemas.microsoft.com/office/2014/relationships/chartEx" Target="../charts/chartEx2.xml"/><Relationship Id="rId7" Type="http://schemas.microsoft.com/office/2014/relationships/chartEx" Target="../charts/chartEx6.xml"/><Relationship Id="rId12" Type="http://schemas.microsoft.com/office/2014/relationships/chartEx" Target="../charts/chartEx11.xml"/><Relationship Id="rId17" Type="http://schemas.microsoft.com/office/2014/relationships/chartEx" Target="../charts/chartEx16.xml"/><Relationship Id="rId2" Type="http://schemas.microsoft.com/office/2014/relationships/chartEx" Target="../charts/chartEx1.xml"/><Relationship Id="rId16" Type="http://schemas.microsoft.com/office/2014/relationships/chartEx" Target="../charts/chartEx15.xml"/><Relationship Id="rId1" Type="http://schemas.openxmlformats.org/officeDocument/2006/relationships/image" Target="../media/image1.png"/><Relationship Id="rId6" Type="http://schemas.microsoft.com/office/2014/relationships/chartEx" Target="../charts/chartEx5.xml"/><Relationship Id="rId11" Type="http://schemas.microsoft.com/office/2014/relationships/chartEx" Target="../charts/chartEx10.xml"/><Relationship Id="rId5" Type="http://schemas.microsoft.com/office/2014/relationships/chartEx" Target="../charts/chartEx4.xml"/><Relationship Id="rId15" Type="http://schemas.microsoft.com/office/2014/relationships/chartEx" Target="../charts/chartEx14.xml"/><Relationship Id="rId10" Type="http://schemas.microsoft.com/office/2014/relationships/chartEx" Target="../charts/chartEx9.xml"/><Relationship Id="rId4" Type="http://schemas.microsoft.com/office/2014/relationships/chartEx" Target="../charts/chartEx3.xml"/><Relationship Id="rId9" Type="http://schemas.microsoft.com/office/2014/relationships/chartEx" Target="../charts/chartEx8.xml"/><Relationship Id="rId14" Type="http://schemas.microsoft.com/office/2014/relationships/chartEx" Target="../charts/chartEx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399</xdr:row>
      <xdr:rowOff>0</xdr:rowOff>
    </xdr:from>
    <xdr:to>
      <xdr:col>1</xdr:col>
      <xdr:colOff>3187864</xdr:colOff>
      <xdr:row>404</xdr:row>
      <xdr:rowOff>38161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CF25B95-FD48-FC4F-2767-315C3BC3D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91211400"/>
          <a:ext cx="3187864" cy="1181161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408</xdr:row>
      <xdr:rowOff>0</xdr:rowOff>
    </xdr:from>
    <xdr:to>
      <xdr:col>8</xdr:col>
      <xdr:colOff>435429</xdr:colOff>
      <xdr:row>420</xdr:row>
      <xdr:rowOff>21771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グラフ 6">
              <a:extLst>
                <a:ext uri="{FF2B5EF4-FFF2-40B4-BE49-F238E27FC236}">
                  <a16:creationId xmlns:a16="http://schemas.microsoft.com/office/drawing/2014/main" id="{7F1A1B59-7D41-0851-10A8-49C4F0F9DE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55143" y="92528571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9</xdr:col>
      <xdr:colOff>0</xdr:colOff>
      <xdr:row>408</xdr:row>
      <xdr:rowOff>0</xdr:rowOff>
    </xdr:from>
    <xdr:to>
      <xdr:col>15</xdr:col>
      <xdr:colOff>598714</xdr:colOff>
      <xdr:row>420</xdr:row>
      <xdr:rowOff>21771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グラフ 7">
              <a:extLst>
                <a:ext uri="{FF2B5EF4-FFF2-40B4-BE49-F238E27FC236}">
                  <a16:creationId xmlns:a16="http://schemas.microsoft.com/office/drawing/2014/main" id="{14537D29-2795-334F-9729-CFD47C403D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17214" y="92528571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16</xdr:col>
      <xdr:colOff>0</xdr:colOff>
      <xdr:row>408</xdr:row>
      <xdr:rowOff>0</xdr:rowOff>
    </xdr:from>
    <xdr:to>
      <xdr:col>22</xdr:col>
      <xdr:colOff>598714</xdr:colOff>
      <xdr:row>420</xdr:row>
      <xdr:rowOff>21771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グラフ 8">
              <a:extLst>
                <a:ext uri="{FF2B5EF4-FFF2-40B4-BE49-F238E27FC236}">
                  <a16:creationId xmlns:a16="http://schemas.microsoft.com/office/drawing/2014/main" id="{F7075BF6-5AFD-B310-66A7-EBAB83467C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52714" y="92528571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23</xdr:col>
      <xdr:colOff>0</xdr:colOff>
      <xdr:row>408</xdr:row>
      <xdr:rowOff>0</xdr:rowOff>
    </xdr:from>
    <xdr:to>
      <xdr:col>29</xdr:col>
      <xdr:colOff>598714</xdr:colOff>
      <xdr:row>420</xdr:row>
      <xdr:rowOff>21771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グラフ 11">
              <a:extLst>
                <a:ext uri="{FF2B5EF4-FFF2-40B4-BE49-F238E27FC236}">
                  <a16:creationId xmlns:a16="http://schemas.microsoft.com/office/drawing/2014/main" id="{49EFEF6C-0F9B-7DC3-2603-07F4537E77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88214" y="92528571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30</xdr:col>
      <xdr:colOff>0</xdr:colOff>
      <xdr:row>408</xdr:row>
      <xdr:rowOff>0</xdr:rowOff>
    </xdr:from>
    <xdr:to>
      <xdr:col>36</xdr:col>
      <xdr:colOff>598714</xdr:colOff>
      <xdr:row>420</xdr:row>
      <xdr:rowOff>21771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グラフ 12">
              <a:extLst>
                <a:ext uri="{FF2B5EF4-FFF2-40B4-BE49-F238E27FC236}">
                  <a16:creationId xmlns:a16="http://schemas.microsoft.com/office/drawing/2014/main" id="{30A14BAD-FA3B-94D2-3B71-605921F684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23714" y="92528571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37</xdr:col>
      <xdr:colOff>0</xdr:colOff>
      <xdr:row>408</xdr:row>
      <xdr:rowOff>0</xdr:rowOff>
    </xdr:from>
    <xdr:to>
      <xdr:col>43</xdr:col>
      <xdr:colOff>598714</xdr:colOff>
      <xdr:row>420</xdr:row>
      <xdr:rowOff>21771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グラフ 13">
              <a:extLst>
                <a:ext uri="{FF2B5EF4-FFF2-40B4-BE49-F238E27FC236}">
                  <a16:creationId xmlns:a16="http://schemas.microsoft.com/office/drawing/2014/main" id="{5B78E33C-248B-2A61-223E-67D5BC0298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459214" y="92528571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44</xdr:col>
      <xdr:colOff>0</xdr:colOff>
      <xdr:row>408</xdr:row>
      <xdr:rowOff>0</xdr:rowOff>
    </xdr:from>
    <xdr:to>
      <xdr:col>50</xdr:col>
      <xdr:colOff>598714</xdr:colOff>
      <xdr:row>420</xdr:row>
      <xdr:rowOff>21771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グラフ 14">
              <a:extLst>
                <a:ext uri="{FF2B5EF4-FFF2-40B4-BE49-F238E27FC236}">
                  <a16:creationId xmlns:a16="http://schemas.microsoft.com/office/drawing/2014/main" id="{2628206D-CBF4-914D-2E9D-C08D73F27E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94714" y="92528571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51</xdr:col>
      <xdr:colOff>0</xdr:colOff>
      <xdr:row>408</xdr:row>
      <xdr:rowOff>0</xdr:rowOff>
    </xdr:from>
    <xdr:to>
      <xdr:col>57</xdr:col>
      <xdr:colOff>598714</xdr:colOff>
      <xdr:row>420</xdr:row>
      <xdr:rowOff>21771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グラフ 15">
              <a:extLst>
                <a:ext uri="{FF2B5EF4-FFF2-40B4-BE49-F238E27FC236}">
                  <a16:creationId xmlns:a16="http://schemas.microsoft.com/office/drawing/2014/main" id="{1846B4CE-6073-9AE7-B3AD-A032699EAA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730214" y="92528571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58</xdr:col>
      <xdr:colOff>0</xdr:colOff>
      <xdr:row>408</xdr:row>
      <xdr:rowOff>0</xdr:rowOff>
    </xdr:from>
    <xdr:to>
      <xdr:col>64</xdr:col>
      <xdr:colOff>598714</xdr:colOff>
      <xdr:row>420</xdr:row>
      <xdr:rowOff>21771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グラフ 16">
              <a:extLst>
                <a:ext uri="{FF2B5EF4-FFF2-40B4-BE49-F238E27FC236}">
                  <a16:creationId xmlns:a16="http://schemas.microsoft.com/office/drawing/2014/main" id="{E961A237-DF0F-A7FB-449A-A6B4D871F3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365714" y="92528571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65</xdr:col>
      <xdr:colOff>0</xdr:colOff>
      <xdr:row>408</xdr:row>
      <xdr:rowOff>0</xdr:rowOff>
    </xdr:from>
    <xdr:to>
      <xdr:col>71</xdr:col>
      <xdr:colOff>598714</xdr:colOff>
      <xdr:row>420</xdr:row>
      <xdr:rowOff>21771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グラフ 17">
              <a:extLst>
                <a:ext uri="{FF2B5EF4-FFF2-40B4-BE49-F238E27FC236}">
                  <a16:creationId xmlns:a16="http://schemas.microsoft.com/office/drawing/2014/main" id="{F49F543E-F4F8-EC63-8571-D052F32234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001214" y="92528571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72</xdr:col>
      <xdr:colOff>0</xdr:colOff>
      <xdr:row>408</xdr:row>
      <xdr:rowOff>0</xdr:rowOff>
    </xdr:from>
    <xdr:to>
      <xdr:col>78</xdr:col>
      <xdr:colOff>598714</xdr:colOff>
      <xdr:row>420</xdr:row>
      <xdr:rowOff>21771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グラフ 18">
              <a:extLst>
                <a:ext uri="{FF2B5EF4-FFF2-40B4-BE49-F238E27FC236}">
                  <a16:creationId xmlns:a16="http://schemas.microsoft.com/office/drawing/2014/main" id="{D9BA6EF6-69F0-1FE0-5812-354D0D04E0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636714" y="92528571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79</xdr:col>
      <xdr:colOff>0</xdr:colOff>
      <xdr:row>408</xdr:row>
      <xdr:rowOff>0</xdr:rowOff>
    </xdr:from>
    <xdr:to>
      <xdr:col>85</xdr:col>
      <xdr:colOff>598714</xdr:colOff>
      <xdr:row>420</xdr:row>
      <xdr:rowOff>21771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グラフ 19">
              <a:extLst>
                <a:ext uri="{FF2B5EF4-FFF2-40B4-BE49-F238E27FC236}">
                  <a16:creationId xmlns:a16="http://schemas.microsoft.com/office/drawing/2014/main" id="{E70E35C2-F953-0680-4373-B3350BBA94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272214" y="92528571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86</xdr:col>
      <xdr:colOff>0</xdr:colOff>
      <xdr:row>408</xdr:row>
      <xdr:rowOff>0</xdr:rowOff>
    </xdr:from>
    <xdr:to>
      <xdr:col>92</xdr:col>
      <xdr:colOff>598714</xdr:colOff>
      <xdr:row>420</xdr:row>
      <xdr:rowOff>21771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グラフ 20">
              <a:extLst>
                <a:ext uri="{FF2B5EF4-FFF2-40B4-BE49-F238E27FC236}">
                  <a16:creationId xmlns:a16="http://schemas.microsoft.com/office/drawing/2014/main" id="{1C42EA70-1300-90D0-7E06-8DD85ED5A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907714" y="92528571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93</xdr:col>
      <xdr:colOff>0</xdr:colOff>
      <xdr:row>408</xdr:row>
      <xdr:rowOff>0</xdr:rowOff>
    </xdr:from>
    <xdr:to>
      <xdr:col>99</xdr:col>
      <xdr:colOff>598714</xdr:colOff>
      <xdr:row>420</xdr:row>
      <xdr:rowOff>21771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2" name="グラフ 21">
              <a:extLst>
                <a:ext uri="{FF2B5EF4-FFF2-40B4-BE49-F238E27FC236}">
                  <a16:creationId xmlns:a16="http://schemas.microsoft.com/office/drawing/2014/main" id="{D5225521-0292-70E6-D997-0B5484078B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543214" y="92528571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100</xdr:col>
      <xdr:colOff>0</xdr:colOff>
      <xdr:row>408</xdr:row>
      <xdr:rowOff>0</xdr:rowOff>
    </xdr:from>
    <xdr:to>
      <xdr:col>106</xdr:col>
      <xdr:colOff>598714</xdr:colOff>
      <xdr:row>420</xdr:row>
      <xdr:rowOff>21771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3" name="グラフ 22">
              <a:extLst>
                <a:ext uri="{FF2B5EF4-FFF2-40B4-BE49-F238E27FC236}">
                  <a16:creationId xmlns:a16="http://schemas.microsoft.com/office/drawing/2014/main" id="{FC47B79A-B7F4-4D9E-4505-E217C162C0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178714" y="92528571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107</xdr:col>
      <xdr:colOff>0</xdr:colOff>
      <xdr:row>408</xdr:row>
      <xdr:rowOff>0</xdr:rowOff>
    </xdr:from>
    <xdr:to>
      <xdr:col>113</xdr:col>
      <xdr:colOff>598714</xdr:colOff>
      <xdr:row>420</xdr:row>
      <xdr:rowOff>21771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4" name="グラフ 23">
              <a:extLst>
                <a:ext uri="{FF2B5EF4-FFF2-40B4-BE49-F238E27FC236}">
                  <a16:creationId xmlns:a16="http://schemas.microsoft.com/office/drawing/2014/main" id="{8D93CA36-D29B-73A4-4ECA-C19352E00A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814214" y="92528571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114</xdr:col>
      <xdr:colOff>0</xdr:colOff>
      <xdr:row>408</xdr:row>
      <xdr:rowOff>0</xdr:rowOff>
    </xdr:from>
    <xdr:to>
      <xdr:col>120</xdr:col>
      <xdr:colOff>598714</xdr:colOff>
      <xdr:row>420</xdr:row>
      <xdr:rowOff>21771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5" name="グラフ 24">
              <a:extLst>
                <a:ext uri="{FF2B5EF4-FFF2-40B4-BE49-F238E27FC236}">
                  <a16:creationId xmlns:a16="http://schemas.microsoft.com/office/drawing/2014/main" id="{6B00980B-6D76-00F0-A8B4-C280FD4FC3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449714" y="92528571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A5278-FCFB-4C80-BC70-6A04F0CAF7F0}">
  <dimension ref="A1:BN407"/>
  <sheetViews>
    <sheetView tabSelected="1" topLeftCell="A405" zoomScale="70" zoomScaleNormal="70" workbookViewId="0">
      <selection activeCell="B408" sqref="B408"/>
    </sheetView>
  </sheetViews>
  <sheetFormatPr defaultRowHeight="18" x14ac:dyDescent="0.55000000000000004"/>
  <cols>
    <col min="2" max="2" width="43.25" bestFit="1" customWidth="1"/>
    <col min="8" max="8" width="10.83203125" bestFit="1" customWidth="1"/>
    <col min="9" max="9" width="10.83203125" customWidth="1"/>
  </cols>
  <sheetData>
    <row r="1" spans="1:66" x14ac:dyDescent="0.55000000000000004">
      <c r="A1" t="s">
        <v>432</v>
      </c>
      <c r="C1" t="s">
        <v>431</v>
      </c>
    </row>
    <row r="3" spans="1:66" x14ac:dyDescent="0.55000000000000004">
      <c r="A3" s="1" t="s">
        <v>0</v>
      </c>
      <c r="B3" s="1" t="s">
        <v>426</v>
      </c>
      <c r="D3" s="1" t="s">
        <v>1</v>
      </c>
      <c r="E3" s="1"/>
      <c r="F3" s="1" t="s">
        <v>427</v>
      </c>
      <c r="G3" s="1"/>
      <c r="J3" s="1" t="s">
        <v>2</v>
      </c>
      <c r="K3" s="1"/>
      <c r="L3" s="1" t="s">
        <v>428</v>
      </c>
      <c r="M3" s="1"/>
      <c r="P3" s="1" t="s">
        <v>433</v>
      </c>
      <c r="Q3" s="1"/>
      <c r="R3" s="1" t="s">
        <v>429</v>
      </c>
      <c r="S3" s="1"/>
      <c r="V3" s="1" t="s">
        <v>3</v>
      </c>
      <c r="W3" s="1"/>
      <c r="X3" s="1" t="s">
        <v>430</v>
      </c>
      <c r="Y3" s="1"/>
    </row>
    <row r="5" spans="1:66" x14ac:dyDescent="0.55000000000000004">
      <c r="A5" s="2" t="s">
        <v>4</v>
      </c>
      <c r="B5" s="2" t="s">
        <v>5</v>
      </c>
      <c r="C5" s="2" t="s">
        <v>2</v>
      </c>
      <c r="D5" s="2" t="s">
        <v>6</v>
      </c>
      <c r="E5" s="2"/>
      <c r="F5" s="2"/>
      <c r="G5" s="2"/>
      <c r="H5" s="2" t="s">
        <v>7</v>
      </c>
      <c r="I5" s="2"/>
      <c r="J5" s="2"/>
      <c r="K5" s="2"/>
      <c r="L5" s="2" t="s">
        <v>8</v>
      </c>
      <c r="M5" s="2"/>
      <c r="N5" s="2" t="s">
        <v>9</v>
      </c>
      <c r="O5" s="2"/>
      <c r="P5" s="2"/>
      <c r="Q5" s="2"/>
      <c r="R5" s="2"/>
      <c r="S5" s="2"/>
      <c r="T5" s="2" t="s">
        <v>10</v>
      </c>
      <c r="U5" s="2"/>
      <c r="V5" s="2"/>
      <c r="W5" s="2"/>
      <c r="X5" s="2"/>
      <c r="Y5" s="2"/>
      <c r="Z5" s="2" t="s">
        <v>11</v>
      </c>
      <c r="AA5" s="2"/>
      <c r="AB5" s="2"/>
      <c r="AC5" s="2"/>
      <c r="AD5" s="2"/>
      <c r="AE5" s="2"/>
      <c r="AF5" s="2" t="s">
        <v>12</v>
      </c>
      <c r="AG5" s="2"/>
      <c r="AH5" s="2"/>
      <c r="AI5" s="2"/>
      <c r="AJ5" s="2"/>
      <c r="AK5" s="2"/>
      <c r="AL5" s="2" t="s">
        <v>13</v>
      </c>
      <c r="AM5" s="2"/>
      <c r="AN5" s="2"/>
      <c r="AO5" s="2"/>
      <c r="AP5" s="2"/>
      <c r="AQ5" s="2"/>
      <c r="AR5" s="2" t="s">
        <v>14</v>
      </c>
      <c r="AS5" s="2"/>
      <c r="AT5" s="2" t="s">
        <v>15</v>
      </c>
      <c r="AU5" s="2"/>
      <c r="AV5" s="2" t="s">
        <v>16</v>
      </c>
      <c r="AW5" s="2"/>
      <c r="AX5" s="2" t="s">
        <v>17</v>
      </c>
      <c r="AY5" s="2"/>
      <c r="AZ5" s="2"/>
      <c r="BA5" s="2"/>
      <c r="BB5" s="2" t="s">
        <v>18</v>
      </c>
      <c r="BC5" s="2"/>
      <c r="BD5" s="2"/>
      <c r="BE5" s="2"/>
      <c r="BF5" s="2" t="s">
        <v>19</v>
      </c>
      <c r="BG5" s="2"/>
      <c r="BH5" s="2"/>
      <c r="BI5" s="2"/>
    </row>
    <row r="6" spans="1:66" x14ac:dyDescent="0.55000000000000004">
      <c r="A6" s="2"/>
      <c r="B6" s="2"/>
      <c r="C6" s="2"/>
      <c r="D6" s="2" t="s">
        <v>20</v>
      </c>
      <c r="E6" s="2" t="s">
        <v>434</v>
      </c>
      <c r="F6" s="2" t="s">
        <v>21</v>
      </c>
      <c r="G6" s="2" t="s">
        <v>435</v>
      </c>
      <c r="H6" s="2" t="s">
        <v>22</v>
      </c>
      <c r="I6" s="2" t="s">
        <v>436</v>
      </c>
      <c r="J6" s="2" t="s">
        <v>23</v>
      </c>
      <c r="K6" s="2" t="s">
        <v>437</v>
      </c>
      <c r="L6" s="2" t="s">
        <v>24</v>
      </c>
      <c r="M6" s="2" t="s">
        <v>438</v>
      </c>
      <c r="N6" s="2" t="s">
        <v>25</v>
      </c>
      <c r="O6" s="2" t="s">
        <v>439</v>
      </c>
      <c r="P6" s="2" t="s">
        <v>26</v>
      </c>
      <c r="Q6" s="2" t="s">
        <v>440</v>
      </c>
      <c r="R6" s="2" t="s">
        <v>27</v>
      </c>
      <c r="S6" s="2" t="s">
        <v>441</v>
      </c>
      <c r="T6" s="2" t="s">
        <v>28</v>
      </c>
      <c r="U6" s="2" t="s">
        <v>442</v>
      </c>
      <c r="V6" s="2" t="s">
        <v>29</v>
      </c>
      <c r="W6" s="2" t="s">
        <v>443</v>
      </c>
      <c r="X6" s="2" t="s">
        <v>444</v>
      </c>
      <c r="Y6" s="2" t="s">
        <v>445</v>
      </c>
      <c r="Z6" s="2" t="s">
        <v>446</v>
      </c>
      <c r="AA6" s="2" t="s">
        <v>447</v>
      </c>
      <c r="AB6" s="2" t="s">
        <v>448</v>
      </c>
      <c r="AC6" s="2" t="s">
        <v>449</v>
      </c>
      <c r="AD6" s="2" t="s">
        <v>450</v>
      </c>
      <c r="AE6" s="2" t="s">
        <v>451</v>
      </c>
      <c r="AF6" s="2" t="s">
        <v>452</v>
      </c>
      <c r="AG6" s="2" t="s">
        <v>453</v>
      </c>
      <c r="AH6" s="2" t="s">
        <v>454</v>
      </c>
      <c r="AI6" s="2" t="s">
        <v>455</v>
      </c>
      <c r="AJ6" s="2" t="s">
        <v>456</v>
      </c>
      <c r="AK6" s="2" t="s">
        <v>457</v>
      </c>
      <c r="AL6" s="2" t="s">
        <v>458</v>
      </c>
      <c r="AM6" s="2" t="s">
        <v>459</v>
      </c>
      <c r="AN6" s="2" t="s">
        <v>460</v>
      </c>
      <c r="AO6" s="2" t="s">
        <v>461</v>
      </c>
      <c r="AP6" s="2" t="s">
        <v>462</v>
      </c>
      <c r="AQ6" s="2" t="s">
        <v>463</v>
      </c>
      <c r="AR6" s="2" t="s">
        <v>464</v>
      </c>
      <c r="AS6" s="2" t="s">
        <v>465</v>
      </c>
      <c r="AT6" s="2" t="s">
        <v>466</v>
      </c>
      <c r="AU6" s="2" t="s">
        <v>467</v>
      </c>
      <c r="AV6" s="2" t="s">
        <v>468</v>
      </c>
      <c r="AW6" s="2" t="s">
        <v>469</v>
      </c>
      <c r="AX6" s="2" t="s">
        <v>470</v>
      </c>
      <c r="AY6" s="2" t="s">
        <v>471</v>
      </c>
      <c r="AZ6" s="2" t="s">
        <v>472</v>
      </c>
      <c r="BA6" s="2" t="s">
        <v>473</v>
      </c>
      <c r="BB6" s="2" t="s">
        <v>474</v>
      </c>
      <c r="BC6" s="2" t="s">
        <v>475</v>
      </c>
      <c r="BD6" s="2" t="s">
        <v>476</v>
      </c>
      <c r="BE6" s="2" t="s">
        <v>477</v>
      </c>
      <c r="BF6" s="2" t="s">
        <v>478</v>
      </c>
      <c r="BG6" s="2" t="s">
        <v>479</v>
      </c>
      <c r="BH6" s="2" t="s">
        <v>30</v>
      </c>
      <c r="BI6" s="6" t="s">
        <v>480</v>
      </c>
      <c r="BM6" t="s">
        <v>481</v>
      </c>
      <c r="BN6" t="s">
        <v>482</v>
      </c>
    </row>
    <row r="7" spans="1:66" x14ac:dyDescent="0.55000000000000004">
      <c r="A7" s="2">
        <v>1</v>
      </c>
      <c r="B7" s="2" t="s">
        <v>31</v>
      </c>
      <c r="C7" s="2" t="s">
        <v>32</v>
      </c>
      <c r="D7" s="2">
        <v>60</v>
      </c>
      <c r="E7" s="2">
        <f>_xlfn.RANK.EQ(D7, D$7:D$375,0)</f>
        <v>1</v>
      </c>
      <c r="F7" s="2">
        <v>60</v>
      </c>
      <c r="G7" s="2">
        <f>_xlfn.RANK.EQ(F7, F$7:F$375,0)</f>
        <v>1</v>
      </c>
      <c r="H7" s="3">
        <v>78.34930555555556</v>
      </c>
      <c r="I7" s="2">
        <f>_xlfn.RANK.EQ(H7, H$7:H$375,0)</f>
        <v>1</v>
      </c>
      <c r="J7" s="3">
        <v>1.3055555555555556</v>
      </c>
      <c r="K7" s="2">
        <f>_xlfn.RANK.EQ(J7, J$7:J$375,0)</f>
        <v>5</v>
      </c>
      <c r="L7" s="2">
        <v>1591</v>
      </c>
      <c r="M7" s="2">
        <f>_xlfn.RANK.EQ(L7, L$7:L$375,0)</f>
        <v>1</v>
      </c>
      <c r="N7" s="2">
        <v>534</v>
      </c>
      <c r="O7" s="2">
        <f>_xlfn.RANK.EQ(N7, N$7:N$375,0)</f>
        <v>1</v>
      </c>
      <c r="P7" s="2">
        <v>1148</v>
      </c>
      <c r="Q7" s="2">
        <f>_xlfn.RANK.EQ(P7, P$7:P$375,0)</f>
        <v>1</v>
      </c>
      <c r="R7" s="4">
        <v>0.46500000000000002</v>
      </c>
      <c r="S7" s="2">
        <f>_xlfn.RANK.EQ(R7, R$7:R$375,0)</f>
        <v>100</v>
      </c>
      <c r="T7" s="2">
        <v>382</v>
      </c>
      <c r="U7" s="2">
        <f>_xlfn.RANK.EQ(T7, T$7:T$375,0)</f>
        <v>2</v>
      </c>
      <c r="V7" s="2">
        <v>685</v>
      </c>
      <c r="W7" s="2">
        <f>_xlfn.RANK.EQ(V7, V$7:V$375,0)</f>
        <v>1</v>
      </c>
      <c r="X7" s="4">
        <v>0.55800000000000005</v>
      </c>
      <c r="Y7" s="2">
        <f>_xlfn.RANK.EQ(X7, X$7:X$375,0)</f>
        <v>102</v>
      </c>
      <c r="Z7" s="2">
        <v>152</v>
      </c>
      <c r="AA7" s="2">
        <f>_xlfn.RANK.EQ(Z7, Z$7:Z$375,0)</f>
        <v>5</v>
      </c>
      <c r="AB7" s="2">
        <v>463</v>
      </c>
      <c r="AC7" s="2">
        <f>_xlfn.RANK.EQ(AB7, AB$7:AB$375,0)</f>
        <v>3</v>
      </c>
      <c r="AD7" s="4">
        <v>0.32800000000000001</v>
      </c>
      <c r="AE7" s="2">
        <f>_xlfn.RANK.EQ(AD7, AD$7:AD$375,0)</f>
        <v>164</v>
      </c>
      <c r="AF7" s="2">
        <v>371</v>
      </c>
      <c r="AG7" s="2">
        <f>_xlfn.RANK.EQ(AF7, AF$7:AF$375,0)</f>
        <v>1</v>
      </c>
      <c r="AH7" s="2">
        <v>445</v>
      </c>
      <c r="AI7" s="2">
        <f>_xlfn.RANK.EQ(AH7, AH$7:AH$375,0)</f>
        <v>1</v>
      </c>
      <c r="AJ7" s="4">
        <v>0.83399999999999996</v>
      </c>
      <c r="AK7" s="2">
        <f>_xlfn.RANK.EQ(AJ7, AJ$7:AJ$375,0)</f>
        <v>49</v>
      </c>
      <c r="AL7" s="2">
        <v>62</v>
      </c>
      <c r="AM7" s="2">
        <f>_xlfn.RANK.EQ(AL7, AL$7:AL$375,0)</f>
        <v>72</v>
      </c>
      <c r="AN7" s="2">
        <v>299</v>
      </c>
      <c r="AO7" s="2">
        <f>_xlfn.RANK.EQ(AN7, AN$7:AN$375,0)</f>
        <v>21</v>
      </c>
      <c r="AP7" s="2">
        <v>361</v>
      </c>
      <c r="AQ7" s="2">
        <f>_xlfn.RANK.EQ(AP7, AP$7:AP$375,0)</f>
        <v>37</v>
      </c>
      <c r="AR7" s="2">
        <v>193</v>
      </c>
      <c r="AS7" s="2">
        <f>_xlfn.RANK.EQ(AR7, AR$7:AR$375,0)</f>
        <v>41</v>
      </c>
      <c r="AT7" s="2">
        <v>165</v>
      </c>
      <c r="AU7" s="2">
        <f>_xlfn.RANK.EQ(AT7, AT$7:AT$375,0)</f>
        <v>3</v>
      </c>
      <c r="AV7" s="2">
        <v>100</v>
      </c>
      <c r="AW7" s="2">
        <f>_xlfn.RANK.EQ(AV7, AV$7:AV$375,0)</f>
        <v>5</v>
      </c>
      <c r="AX7" s="2">
        <v>29</v>
      </c>
      <c r="AY7" s="2">
        <f>_xlfn.RANK.EQ(AX7, AX$7:AX$375,0)</f>
        <v>39</v>
      </c>
      <c r="AZ7" s="2">
        <v>42</v>
      </c>
      <c r="BA7" s="2">
        <f>_xlfn.RANK.EQ(AZ7, AZ$7:AZ$375,0)</f>
        <v>2</v>
      </c>
      <c r="BB7" s="2">
        <v>122</v>
      </c>
      <c r="BC7" s="2">
        <f>_xlfn.RANK.EQ(BB7, BB$7:BB$375,0)</f>
        <v>74</v>
      </c>
      <c r="BD7" s="2">
        <v>414</v>
      </c>
      <c r="BE7" s="2">
        <f>_xlfn.RANK.EQ(BD7, BD$7:BD$375,0)</f>
        <v>1</v>
      </c>
      <c r="BF7" s="2">
        <v>1670</v>
      </c>
      <c r="BG7" s="2">
        <f>_xlfn.RANK.EQ(BF7, BF$7:BF$375,0)</f>
        <v>1</v>
      </c>
      <c r="BH7" s="2">
        <v>216</v>
      </c>
      <c r="BI7" s="2">
        <f>_xlfn.RANK.EQ(BH7, BH$7:BH$375,0)</f>
        <v>45</v>
      </c>
      <c r="BM7" t="str" cm="1">
        <f t="array" ref="BM7:BM32">_xlfn.UNIQUE(C7:C375)</f>
        <v>仙台</v>
      </c>
    </row>
    <row r="8" spans="1:66" x14ac:dyDescent="0.55000000000000004">
      <c r="A8" s="2">
        <v>2</v>
      </c>
      <c r="B8" s="2" t="s">
        <v>33</v>
      </c>
      <c r="C8" s="2" t="s">
        <v>34</v>
      </c>
      <c r="D8" s="2">
        <v>58</v>
      </c>
      <c r="E8" s="2">
        <f t="shared" ref="E8:E71" si="0">_xlfn.RANK.EQ(D8, D$7:D$375,0)</f>
        <v>78</v>
      </c>
      <c r="F8" s="2">
        <v>11</v>
      </c>
      <c r="G8" s="2">
        <f t="shared" ref="G8:I8" si="1">_xlfn.RANK.EQ(F8, F$7:F$375,0)</f>
        <v>197</v>
      </c>
      <c r="H8" s="3">
        <v>69.099999999999994</v>
      </c>
      <c r="I8" s="2">
        <f t="shared" si="1"/>
        <v>22</v>
      </c>
      <c r="J8" s="3">
        <v>1.1909722222222223</v>
      </c>
      <c r="K8" s="2">
        <f t="shared" ref="K8:M8" si="2">_xlfn.RANK.EQ(J8, J$7:J$375,0)</f>
        <v>29</v>
      </c>
      <c r="L8" s="2">
        <v>1323</v>
      </c>
      <c r="M8" s="2">
        <f t="shared" si="2"/>
        <v>2</v>
      </c>
      <c r="N8" s="2">
        <v>449</v>
      </c>
      <c r="O8" s="2">
        <f t="shared" ref="O8:Q8" si="3">_xlfn.RANK.EQ(N8, N$7:N$375,0)</f>
        <v>2</v>
      </c>
      <c r="P8" s="2">
        <v>992</v>
      </c>
      <c r="Q8" s="2">
        <f t="shared" si="3"/>
        <v>2</v>
      </c>
      <c r="R8" s="4">
        <v>0.45300000000000001</v>
      </c>
      <c r="S8" s="2">
        <f t="shared" ref="S8:U8" si="4">_xlfn.RANK.EQ(R8, R$7:R$375,0)</f>
        <v>118</v>
      </c>
      <c r="T8" s="2">
        <v>292</v>
      </c>
      <c r="U8" s="2">
        <f t="shared" si="4"/>
        <v>12</v>
      </c>
      <c r="V8" s="2">
        <v>522</v>
      </c>
      <c r="W8" s="2">
        <f t="shared" ref="W8:Y8" si="5">_xlfn.RANK.EQ(V8, V$7:V$375,0)</f>
        <v>11</v>
      </c>
      <c r="X8" s="4">
        <v>0.55900000000000005</v>
      </c>
      <c r="Y8" s="2">
        <f t="shared" si="5"/>
        <v>97</v>
      </c>
      <c r="Z8" s="2">
        <v>157</v>
      </c>
      <c r="AA8" s="2">
        <f t="shared" ref="AA8:AC8" si="6">_xlfn.RANK.EQ(Z8, Z$7:Z$375,0)</f>
        <v>3</v>
      </c>
      <c r="AB8" s="2">
        <v>470</v>
      </c>
      <c r="AC8" s="2">
        <f t="shared" si="6"/>
        <v>1</v>
      </c>
      <c r="AD8" s="4">
        <v>0.33400000000000002</v>
      </c>
      <c r="AE8" s="2">
        <f t="shared" ref="AE8:AG8" si="7">_xlfn.RANK.EQ(AD8, AD$7:AD$375,0)</f>
        <v>148</v>
      </c>
      <c r="AF8" s="2">
        <v>268</v>
      </c>
      <c r="AG8" s="2">
        <f t="shared" si="7"/>
        <v>6</v>
      </c>
      <c r="AH8" s="2">
        <v>331</v>
      </c>
      <c r="AI8" s="2">
        <f t="shared" ref="AI8:AK8" si="8">_xlfn.RANK.EQ(AH8, AH$7:AH$375,0)</f>
        <v>6</v>
      </c>
      <c r="AJ8" s="4">
        <v>0.81</v>
      </c>
      <c r="AK8" s="2">
        <f t="shared" si="8"/>
        <v>72</v>
      </c>
      <c r="AL8" s="2">
        <v>67</v>
      </c>
      <c r="AM8" s="2">
        <f t="shared" ref="AM8:AO8" si="9">_xlfn.RANK.EQ(AL8, AL$7:AL$375,0)</f>
        <v>64</v>
      </c>
      <c r="AN8" s="2">
        <v>298</v>
      </c>
      <c r="AO8" s="2">
        <f t="shared" si="9"/>
        <v>22</v>
      </c>
      <c r="AP8" s="2">
        <v>365</v>
      </c>
      <c r="AQ8" s="2">
        <f t="shared" ref="AQ8:AS8" si="10">_xlfn.RANK.EQ(AP8, AP$7:AP$375,0)</f>
        <v>36</v>
      </c>
      <c r="AR8" s="2">
        <v>227</v>
      </c>
      <c r="AS8" s="2">
        <f t="shared" si="10"/>
        <v>26</v>
      </c>
      <c r="AT8" s="2">
        <v>179</v>
      </c>
      <c r="AU8" s="2">
        <f t="shared" ref="AU8:AW8" si="11">_xlfn.RANK.EQ(AT8, AT$7:AT$375,0)</f>
        <v>1</v>
      </c>
      <c r="AV8" s="2">
        <v>111</v>
      </c>
      <c r="AW8" s="2">
        <f t="shared" si="11"/>
        <v>2</v>
      </c>
      <c r="AX8" s="2">
        <v>16</v>
      </c>
      <c r="AY8" s="2">
        <f t="shared" ref="AY8:BA8" si="12">_xlfn.RANK.EQ(AX8, AX$7:AX$375,0)</f>
        <v>77</v>
      </c>
      <c r="AZ8" s="2">
        <v>30</v>
      </c>
      <c r="BA8" s="2">
        <f t="shared" si="12"/>
        <v>18</v>
      </c>
      <c r="BB8" s="2">
        <v>142</v>
      </c>
      <c r="BC8" s="2">
        <f t="shared" ref="BC8:BE8" si="13">_xlfn.RANK.EQ(BB8, BB$7:BB$375,0)</f>
        <v>32</v>
      </c>
      <c r="BD8" s="2">
        <v>314</v>
      </c>
      <c r="BE8" s="2">
        <f t="shared" si="13"/>
        <v>6</v>
      </c>
      <c r="BF8" s="2">
        <v>1395</v>
      </c>
      <c r="BG8" s="2">
        <f t="shared" ref="BG8:BI8" si="14">_xlfn.RANK.EQ(BF8, BF$7:BF$375,0)</f>
        <v>7</v>
      </c>
      <c r="BH8" s="2">
        <v>587</v>
      </c>
      <c r="BI8" s="2">
        <f t="shared" si="14"/>
        <v>4</v>
      </c>
      <c r="BM8" t="str">
        <v>長崎</v>
      </c>
    </row>
    <row r="9" spans="1:66" x14ac:dyDescent="0.55000000000000004">
      <c r="A9" s="2">
        <v>3</v>
      </c>
      <c r="B9" s="2" t="s">
        <v>35</v>
      </c>
      <c r="C9" s="2" t="s">
        <v>36</v>
      </c>
      <c r="D9" s="2">
        <v>60</v>
      </c>
      <c r="E9" s="2">
        <f t="shared" si="0"/>
        <v>1</v>
      </c>
      <c r="F9" s="2">
        <v>60</v>
      </c>
      <c r="G9" s="2">
        <f t="shared" ref="G9:I9" si="15">_xlfn.RANK.EQ(F9, F$7:F$375,0)</f>
        <v>1</v>
      </c>
      <c r="H9" s="3">
        <v>66.111111111111114</v>
      </c>
      <c r="I9" s="2">
        <f t="shared" si="15"/>
        <v>32</v>
      </c>
      <c r="J9" s="3">
        <v>1.101388888888889</v>
      </c>
      <c r="K9" s="2">
        <f t="shared" ref="K9:M9" si="16">_xlfn.RANK.EQ(J9, J$7:J$375,0)</f>
        <v>57</v>
      </c>
      <c r="L9" s="2">
        <v>1168</v>
      </c>
      <c r="M9" s="2">
        <f t="shared" si="16"/>
        <v>3</v>
      </c>
      <c r="N9" s="2">
        <v>420</v>
      </c>
      <c r="O9" s="2">
        <f t="shared" ref="O9:Q9" si="17">_xlfn.RANK.EQ(N9, N$7:N$375,0)</f>
        <v>3</v>
      </c>
      <c r="P9" s="2">
        <v>901</v>
      </c>
      <c r="Q9" s="2">
        <f t="shared" si="17"/>
        <v>3</v>
      </c>
      <c r="R9" s="4">
        <v>0.46600000000000003</v>
      </c>
      <c r="S9" s="2">
        <f t="shared" ref="S9:U9" si="18">_xlfn.RANK.EQ(R9, R$7:R$375,0)</f>
        <v>96</v>
      </c>
      <c r="T9" s="2">
        <v>280</v>
      </c>
      <c r="U9" s="2">
        <f t="shared" si="18"/>
        <v>18</v>
      </c>
      <c r="V9" s="2">
        <v>508</v>
      </c>
      <c r="W9" s="2">
        <f t="shared" ref="W9:Y9" si="19">_xlfn.RANK.EQ(V9, V$7:V$375,0)</f>
        <v>13</v>
      </c>
      <c r="X9" s="4">
        <v>0.55100000000000005</v>
      </c>
      <c r="Y9" s="2">
        <f t="shared" si="19"/>
        <v>112</v>
      </c>
      <c r="Z9" s="2">
        <v>140</v>
      </c>
      <c r="AA9" s="2">
        <f t="shared" ref="AA9:AC9" si="20">_xlfn.RANK.EQ(Z9, Z$7:Z$375,0)</f>
        <v>9</v>
      </c>
      <c r="AB9" s="2">
        <v>393</v>
      </c>
      <c r="AC9" s="2">
        <f t="shared" si="20"/>
        <v>6</v>
      </c>
      <c r="AD9" s="4">
        <v>0.35599999999999998</v>
      </c>
      <c r="AE9" s="2">
        <f t="shared" ref="AE9:AG9" si="21">_xlfn.RANK.EQ(AD9, AD$7:AD$375,0)</f>
        <v>103</v>
      </c>
      <c r="AF9" s="2">
        <v>188</v>
      </c>
      <c r="AG9" s="2">
        <f t="shared" si="21"/>
        <v>16</v>
      </c>
      <c r="AH9" s="2">
        <v>223</v>
      </c>
      <c r="AI9" s="2">
        <f t="shared" ref="AI9:AK9" si="22">_xlfn.RANK.EQ(AH9, AH$7:AH$375,0)</f>
        <v>25</v>
      </c>
      <c r="AJ9" s="4">
        <v>0.84299999999999997</v>
      </c>
      <c r="AK9" s="2">
        <f t="shared" si="22"/>
        <v>40</v>
      </c>
      <c r="AL9" s="2">
        <v>24</v>
      </c>
      <c r="AM9" s="2">
        <f t="shared" ref="AM9:AO9" si="23">_xlfn.RANK.EQ(AL9, AL$7:AL$375,0)</f>
        <v>182</v>
      </c>
      <c r="AN9" s="2">
        <v>125</v>
      </c>
      <c r="AO9" s="2">
        <f t="shared" si="23"/>
        <v>92</v>
      </c>
      <c r="AP9" s="2">
        <v>149</v>
      </c>
      <c r="AQ9" s="2">
        <f t="shared" ref="AQ9:AS9" si="24">_xlfn.RANK.EQ(AP9, AP$7:AP$375,0)</f>
        <v>99</v>
      </c>
      <c r="AR9" s="2">
        <v>147</v>
      </c>
      <c r="AS9" s="2">
        <f t="shared" si="24"/>
        <v>74</v>
      </c>
      <c r="AT9" s="2">
        <v>112</v>
      </c>
      <c r="AU9" s="2">
        <f t="shared" ref="AU9:AW9" si="25">_xlfn.RANK.EQ(AT9, AT$7:AT$375,0)</f>
        <v>30</v>
      </c>
      <c r="AV9" s="2">
        <v>58</v>
      </c>
      <c r="AW9" s="2">
        <f t="shared" si="25"/>
        <v>36</v>
      </c>
      <c r="AX9" s="2">
        <v>3</v>
      </c>
      <c r="AY9" s="2">
        <f t="shared" ref="AY9:BA9" si="26">_xlfn.RANK.EQ(AX9, AX$7:AX$375,0)</f>
        <v>208</v>
      </c>
      <c r="AZ9" s="2">
        <v>40</v>
      </c>
      <c r="BA9" s="2">
        <f t="shared" si="26"/>
        <v>3</v>
      </c>
      <c r="BB9" s="2">
        <v>104</v>
      </c>
      <c r="BC9" s="2">
        <f t="shared" ref="BC9:BE9" si="27">_xlfn.RANK.EQ(BB9, BB$7:BB$375,0)</f>
        <v>128</v>
      </c>
      <c r="BD9" s="2">
        <v>261</v>
      </c>
      <c r="BE9" s="2">
        <f t="shared" si="27"/>
        <v>15</v>
      </c>
      <c r="BF9" s="2">
        <v>1011</v>
      </c>
      <c r="BG9" s="2">
        <f t="shared" ref="BG9:BI9" si="28">_xlfn.RANK.EQ(BF9, BF$7:BF$375,0)</f>
        <v>40</v>
      </c>
      <c r="BH9" s="2">
        <v>133</v>
      </c>
      <c r="BI9" s="2">
        <f t="shared" si="28"/>
        <v>73</v>
      </c>
      <c r="BM9" t="str">
        <v>北海道</v>
      </c>
    </row>
    <row r="10" spans="1:66" x14ac:dyDescent="0.55000000000000004">
      <c r="A10" s="2">
        <v>4</v>
      </c>
      <c r="B10" s="2" t="s">
        <v>37</v>
      </c>
      <c r="C10" s="2" t="s">
        <v>38</v>
      </c>
      <c r="D10" s="2">
        <v>56</v>
      </c>
      <c r="E10" s="2">
        <f t="shared" si="0"/>
        <v>124</v>
      </c>
      <c r="F10" s="2">
        <v>49</v>
      </c>
      <c r="G10" s="2">
        <f t="shared" ref="G10:I10" si="29">_xlfn.RANK.EQ(F10, F$7:F$375,0)</f>
        <v>56</v>
      </c>
      <c r="H10" s="3">
        <v>74.131249999999994</v>
      </c>
      <c r="I10" s="2">
        <f t="shared" si="29"/>
        <v>9</v>
      </c>
      <c r="J10" s="3">
        <v>1.3236111111111111</v>
      </c>
      <c r="K10" s="2">
        <f t="shared" ref="K10:M10" si="30">_xlfn.RANK.EQ(J10, J$7:J$375,0)</f>
        <v>3</v>
      </c>
      <c r="L10" s="2">
        <v>1161</v>
      </c>
      <c r="M10" s="2">
        <f t="shared" si="30"/>
        <v>4</v>
      </c>
      <c r="N10" s="2">
        <v>413</v>
      </c>
      <c r="O10" s="2">
        <f t="shared" ref="O10:Q10" si="31">_xlfn.RANK.EQ(N10, N$7:N$375,0)</f>
        <v>5</v>
      </c>
      <c r="P10" s="2">
        <v>750</v>
      </c>
      <c r="Q10" s="2">
        <f t="shared" si="31"/>
        <v>8</v>
      </c>
      <c r="R10" s="4">
        <v>0.55100000000000005</v>
      </c>
      <c r="S10" s="2">
        <f t="shared" ref="S10:U10" si="32">_xlfn.RANK.EQ(R10, R$7:R$375,0)</f>
        <v>38</v>
      </c>
      <c r="T10" s="2">
        <v>349</v>
      </c>
      <c r="U10" s="2">
        <f t="shared" si="32"/>
        <v>5</v>
      </c>
      <c r="V10" s="2">
        <v>551</v>
      </c>
      <c r="W10" s="2">
        <f t="shared" ref="W10:Y10" si="33">_xlfn.RANK.EQ(V10, V$7:V$375,0)</f>
        <v>9</v>
      </c>
      <c r="X10" s="4">
        <v>0.63300000000000001</v>
      </c>
      <c r="Y10" s="2">
        <f t="shared" si="33"/>
        <v>31</v>
      </c>
      <c r="Z10" s="2">
        <v>64</v>
      </c>
      <c r="AA10" s="2">
        <f t="shared" ref="AA10:AC10" si="34">_xlfn.RANK.EQ(Z10, Z$7:Z$375,0)</f>
        <v>86</v>
      </c>
      <c r="AB10" s="2">
        <v>199</v>
      </c>
      <c r="AC10" s="2">
        <f t="shared" si="34"/>
        <v>77</v>
      </c>
      <c r="AD10" s="4">
        <v>0.32200000000000001</v>
      </c>
      <c r="AE10" s="2">
        <f t="shared" ref="AE10:AG10" si="35">_xlfn.RANK.EQ(AD10, AD$7:AD$375,0)</f>
        <v>177</v>
      </c>
      <c r="AF10" s="2">
        <v>271</v>
      </c>
      <c r="AG10" s="2">
        <f t="shared" si="35"/>
        <v>5</v>
      </c>
      <c r="AH10" s="2">
        <v>381</v>
      </c>
      <c r="AI10" s="2">
        <f t="shared" ref="AI10:AK10" si="36">_xlfn.RANK.EQ(AH10, AH$7:AH$375,0)</f>
        <v>3</v>
      </c>
      <c r="AJ10" s="4">
        <v>0.71099999999999997</v>
      </c>
      <c r="AK10" s="2">
        <f t="shared" si="36"/>
        <v>195</v>
      </c>
      <c r="AL10" s="2">
        <v>107</v>
      </c>
      <c r="AM10" s="2">
        <f t="shared" ref="AM10:AO10" si="37">_xlfn.RANK.EQ(AL10, AL$7:AL$375,0)</f>
        <v>37</v>
      </c>
      <c r="AN10" s="2">
        <v>321</v>
      </c>
      <c r="AO10" s="2">
        <f t="shared" si="37"/>
        <v>12</v>
      </c>
      <c r="AP10" s="2">
        <v>428</v>
      </c>
      <c r="AQ10" s="2">
        <f t="shared" ref="AQ10:AS10" si="38">_xlfn.RANK.EQ(AP10, AP$7:AP$375,0)</f>
        <v>18</v>
      </c>
      <c r="AR10" s="2">
        <v>215</v>
      </c>
      <c r="AS10" s="2">
        <f t="shared" si="38"/>
        <v>27</v>
      </c>
      <c r="AT10" s="2">
        <v>126</v>
      </c>
      <c r="AU10" s="2">
        <f t="shared" ref="AU10:AW10" si="39">_xlfn.RANK.EQ(AT10, AT$7:AT$375,0)</f>
        <v>16</v>
      </c>
      <c r="AV10" s="2">
        <v>104</v>
      </c>
      <c r="AW10" s="2">
        <f t="shared" si="39"/>
        <v>3</v>
      </c>
      <c r="AX10" s="2">
        <v>72</v>
      </c>
      <c r="AY10" s="2">
        <f t="shared" ref="AY10:BA10" si="40">_xlfn.RANK.EQ(AX10, AX$7:AX$375,0)</f>
        <v>1</v>
      </c>
      <c r="AZ10" s="2">
        <v>18</v>
      </c>
      <c r="BA10" s="2">
        <f t="shared" si="40"/>
        <v>61</v>
      </c>
      <c r="BB10" s="2">
        <v>123</v>
      </c>
      <c r="BC10" s="2">
        <f t="shared" ref="BC10:BE10" si="41">_xlfn.RANK.EQ(BB10, BB$7:BB$375,0)</f>
        <v>71</v>
      </c>
      <c r="BD10" s="2">
        <v>361</v>
      </c>
      <c r="BE10" s="2">
        <f t="shared" si="41"/>
        <v>2</v>
      </c>
      <c r="BF10" s="2">
        <v>1626</v>
      </c>
      <c r="BG10" s="2">
        <f t="shared" ref="BG10:BI10" si="42">_xlfn.RANK.EQ(BF10, BF$7:BF$375,0)</f>
        <v>3</v>
      </c>
      <c r="BH10" s="2">
        <v>222</v>
      </c>
      <c r="BI10" s="2">
        <f t="shared" si="42"/>
        <v>44</v>
      </c>
      <c r="BM10" t="str">
        <v>三遠</v>
      </c>
    </row>
    <row r="11" spans="1:66" x14ac:dyDescent="0.55000000000000004">
      <c r="A11" s="2">
        <v>5</v>
      </c>
      <c r="B11" s="2" t="s">
        <v>39</v>
      </c>
      <c r="C11" s="2" t="s">
        <v>40</v>
      </c>
      <c r="D11" s="2">
        <v>59</v>
      </c>
      <c r="E11" s="2">
        <f t="shared" si="0"/>
        <v>58</v>
      </c>
      <c r="F11" s="2">
        <v>17</v>
      </c>
      <c r="G11" s="2">
        <f t="shared" ref="G11:I11" si="43">_xlfn.RANK.EQ(F11, F$7:F$375,0)</f>
        <v>166</v>
      </c>
      <c r="H11" s="3">
        <v>66.868750000000006</v>
      </c>
      <c r="I11" s="2">
        <f t="shared" si="43"/>
        <v>28</v>
      </c>
      <c r="J11" s="3">
        <v>1.1333333333333333</v>
      </c>
      <c r="K11" s="2">
        <f t="shared" ref="K11:M11" si="44">_xlfn.RANK.EQ(J11, J$7:J$375,0)</f>
        <v>47</v>
      </c>
      <c r="L11" s="2">
        <v>1152</v>
      </c>
      <c r="M11" s="2">
        <f t="shared" si="44"/>
        <v>5</v>
      </c>
      <c r="N11" s="2">
        <v>357</v>
      </c>
      <c r="O11" s="2">
        <f t="shared" ref="O11:Q11" si="45">_xlfn.RANK.EQ(N11, N$7:N$375,0)</f>
        <v>16</v>
      </c>
      <c r="P11" s="2">
        <v>737</v>
      </c>
      <c r="Q11" s="2">
        <f t="shared" si="45"/>
        <v>12</v>
      </c>
      <c r="R11" s="4">
        <v>0.48399999999999999</v>
      </c>
      <c r="S11" s="2">
        <f t="shared" ref="S11:U11" si="46">_xlfn.RANK.EQ(R11, R$7:R$375,0)</f>
        <v>82</v>
      </c>
      <c r="T11" s="2">
        <v>202</v>
      </c>
      <c r="U11" s="2">
        <f t="shared" si="46"/>
        <v>46</v>
      </c>
      <c r="V11" s="2">
        <v>314</v>
      </c>
      <c r="W11" s="2">
        <f t="shared" ref="W11:Y11" si="47">_xlfn.RANK.EQ(V11, V$7:V$375,0)</f>
        <v>62</v>
      </c>
      <c r="X11" s="4">
        <v>0.64300000000000002</v>
      </c>
      <c r="Y11" s="2">
        <f t="shared" si="47"/>
        <v>24</v>
      </c>
      <c r="Z11" s="2">
        <v>155</v>
      </c>
      <c r="AA11" s="2">
        <f t="shared" ref="AA11:AC11" si="48">_xlfn.RANK.EQ(Z11, Z$7:Z$375,0)</f>
        <v>4</v>
      </c>
      <c r="AB11" s="2">
        <v>423</v>
      </c>
      <c r="AC11" s="2">
        <f t="shared" si="48"/>
        <v>4</v>
      </c>
      <c r="AD11" s="4">
        <v>0.36599999999999999</v>
      </c>
      <c r="AE11" s="2">
        <f t="shared" ref="AE11:AG11" si="49">_xlfn.RANK.EQ(AD11, AD$7:AD$375,0)</f>
        <v>84</v>
      </c>
      <c r="AF11" s="2">
        <v>283</v>
      </c>
      <c r="AG11" s="2">
        <f t="shared" si="49"/>
        <v>3</v>
      </c>
      <c r="AH11" s="2">
        <v>360</v>
      </c>
      <c r="AI11" s="2">
        <f t="shared" ref="AI11:AK11" si="50">_xlfn.RANK.EQ(AH11, AH$7:AH$375,0)</f>
        <v>4</v>
      </c>
      <c r="AJ11" s="4">
        <v>0.78600000000000003</v>
      </c>
      <c r="AK11" s="2">
        <f t="shared" si="50"/>
        <v>106</v>
      </c>
      <c r="AL11" s="2">
        <v>54</v>
      </c>
      <c r="AM11" s="2">
        <f t="shared" ref="AM11:AO11" si="51">_xlfn.RANK.EQ(AL11, AL$7:AL$375,0)</f>
        <v>83</v>
      </c>
      <c r="AN11" s="2">
        <v>225</v>
      </c>
      <c r="AO11" s="2">
        <f t="shared" si="51"/>
        <v>59</v>
      </c>
      <c r="AP11" s="2">
        <v>279</v>
      </c>
      <c r="AQ11" s="2">
        <f t="shared" ref="AQ11:AS11" si="52">_xlfn.RANK.EQ(AP11, AP$7:AP$375,0)</f>
        <v>69</v>
      </c>
      <c r="AR11" s="2">
        <v>180</v>
      </c>
      <c r="AS11" s="2">
        <f t="shared" si="52"/>
        <v>52</v>
      </c>
      <c r="AT11" s="2">
        <v>101</v>
      </c>
      <c r="AU11" s="2">
        <f t="shared" ref="AU11:AW11" si="53">_xlfn.RANK.EQ(AT11, AT$7:AT$375,0)</f>
        <v>47</v>
      </c>
      <c r="AV11" s="2">
        <v>61</v>
      </c>
      <c r="AW11" s="2">
        <f t="shared" si="53"/>
        <v>31</v>
      </c>
      <c r="AX11" s="2">
        <v>23</v>
      </c>
      <c r="AY11" s="2">
        <f t="shared" ref="AY11:BA11" si="54">_xlfn.RANK.EQ(AX11, AX$7:AX$375,0)</f>
        <v>58</v>
      </c>
      <c r="AZ11" s="2">
        <v>18</v>
      </c>
      <c r="BA11" s="2">
        <f t="shared" si="54"/>
        <v>61</v>
      </c>
      <c r="BB11" s="2">
        <v>129</v>
      </c>
      <c r="BC11" s="2">
        <f t="shared" ref="BC11:BE11" si="55">_xlfn.RANK.EQ(BB11, BB$7:BB$375,0)</f>
        <v>59</v>
      </c>
      <c r="BD11" s="2">
        <v>343</v>
      </c>
      <c r="BE11" s="2">
        <f t="shared" si="55"/>
        <v>5</v>
      </c>
      <c r="BF11" s="2">
        <v>1332</v>
      </c>
      <c r="BG11" s="2">
        <f t="shared" ref="BG11:BI11" si="56">_xlfn.RANK.EQ(BF11, BF$7:BF$375,0)</f>
        <v>9</v>
      </c>
      <c r="BH11" s="2">
        <v>55</v>
      </c>
      <c r="BI11" s="2">
        <f t="shared" si="56"/>
        <v>100</v>
      </c>
      <c r="BM11" t="str">
        <v>広島</v>
      </c>
    </row>
    <row r="12" spans="1:66" x14ac:dyDescent="0.55000000000000004">
      <c r="A12" s="2">
        <v>6</v>
      </c>
      <c r="B12" s="2" t="s">
        <v>41</v>
      </c>
      <c r="C12" s="2" t="s">
        <v>42</v>
      </c>
      <c r="D12" s="2">
        <v>59</v>
      </c>
      <c r="E12" s="2">
        <f t="shared" si="0"/>
        <v>58</v>
      </c>
      <c r="F12" s="2">
        <v>57</v>
      </c>
      <c r="G12" s="2">
        <f t="shared" ref="G12:I12" si="57">_xlfn.RANK.EQ(F12, F$7:F$375,0)</f>
        <v>23</v>
      </c>
      <c r="H12" s="3">
        <v>76.361805555555549</v>
      </c>
      <c r="I12" s="2">
        <f t="shared" si="57"/>
        <v>4</v>
      </c>
      <c r="J12" s="3">
        <v>1.29375</v>
      </c>
      <c r="K12" s="2">
        <f t="shared" ref="K12:M12" si="58">_xlfn.RANK.EQ(J12, J$7:J$375,0)</f>
        <v>8</v>
      </c>
      <c r="L12" s="2">
        <v>1119</v>
      </c>
      <c r="M12" s="2">
        <f t="shared" si="58"/>
        <v>6</v>
      </c>
      <c r="N12" s="2">
        <v>373</v>
      </c>
      <c r="O12" s="2">
        <f t="shared" ref="O12:Q12" si="59">_xlfn.RANK.EQ(N12, N$7:N$375,0)</f>
        <v>11</v>
      </c>
      <c r="P12" s="2">
        <v>750</v>
      </c>
      <c r="Q12" s="2">
        <f t="shared" si="59"/>
        <v>8</v>
      </c>
      <c r="R12" s="4">
        <v>0.497</v>
      </c>
      <c r="S12" s="2">
        <f t="shared" ref="S12:U12" si="60">_xlfn.RANK.EQ(R12, R$7:R$375,0)</f>
        <v>70</v>
      </c>
      <c r="T12" s="2">
        <v>187</v>
      </c>
      <c r="U12" s="2">
        <f t="shared" si="60"/>
        <v>56</v>
      </c>
      <c r="V12" s="2">
        <v>280</v>
      </c>
      <c r="W12" s="2">
        <f t="shared" ref="W12:Y12" si="61">_xlfn.RANK.EQ(V12, V$7:V$375,0)</f>
        <v>72</v>
      </c>
      <c r="X12" s="4">
        <v>0.66800000000000004</v>
      </c>
      <c r="Y12" s="2">
        <f t="shared" si="61"/>
        <v>14</v>
      </c>
      <c r="Z12" s="2">
        <v>186</v>
      </c>
      <c r="AA12" s="2">
        <f t="shared" ref="AA12:AC12" si="62">_xlfn.RANK.EQ(Z12, Z$7:Z$375,0)</f>
        <v>2</v>
      </c>
      <c r="AB12" s="2">
        <v>470</v>
      </c>
      <c r="AC12" s="2">
        <f t="shared" si="62"/>
        <v>1</v>
      </c>
      <c r="AD12" s="4">
        <v>0.39600000000000002</v>
      </c>
      <c r="AE12" s="2">
        <f t="shared" ref="AE12:AG12" si="63">_xlfn.RANK.EQ(AD12, AD$7:AD$375,0)</f>
        <v>43</v>
      </c>
      <c r="AF12" s="2">
        <v>187</v>
      </c>
      <c r="AG12" s="2">
        <f t="shared" si="63"/>
        <v>17</v>
      </c>
      <c r="AH12" s="2">
        <v>255</v>
      </c>
      <c r="AI12" s="2">
        <f t="shared" ref="AI12:AK12" si="64">_xlfn.RANK.EQ(AH12, AH$7:AH$375,0)</f>
        <v>17</v>
      </c>
      <c r="AJ12" s="4">
        <v>0.73299999999999998</v>
      </c>
      <c r="AK12" s="2">
        <f t="shared" si="64"/>
        <v>169</v>
      </c>
      <c r="AL12" s="2">
        <v>35</v>
      </c>
      <c r="AM12" s="2">
        <f t="shared" ref="AM12:AO12" si="65">_xlfn.RANK.EQ(AL12, AL$7:AL$375,0)</f>
        <v>129</v>
      </c>
      <c r="AN12" s="2">
        <v>262</v>
      </c>
      <c r="AO12" s="2">
        <f t="shared" si="65"/>
        <v>33</v>
      </c>
      <c r="AP12" s="2">
        <v>297</v>
      </c>
      <c r="AQ12" s="2">
        <f t="shared" ref="AQ12:AS12" si="66">_xlfn.RANK.EQ(AP12, AP$7:AP$375,0)</f>
        <v>61</v>
      </c>
      <c r="AR12" s="2">
        <v>380</v>
      </c>
      <c r="AS12" s="2">
        <f t="shared" si="66"/>
        <v>1</v>
      </c>
      <c r="AT12" s="2">
        <v>148</v>
      </c>
      <c r="AU12" s="2">
        <f t="shared" ref="AU12:AW12" si="67">_xlfn.RANK.EQ(AT12, AT$7:AT$375,0)</f>
        <v>5</v>
      </c>
      <c r="AV12" s="2">
        <v>70</v>
      </c>
      <c r="AW12" s="2">
        <f t="shared" si="67"/>
        <v>21</v>
      </c>
      <c r="AX12" s="2">
        <v>14</v>
      </c>
      <c r="AY12" s="2">
        <f t="shared" ref="AY12:BA12" si="68">_xlfn.RANK.EQ(AX12, AX$7:AX$375,0)</f>
        <v>82</v>
      </c>
      <c r="AZ12" s="2">
        <v>15</v>
      </c>
      <c r="BA12" s="2">
        <f t="shared" si="68"/>
        <v>87</v>
      </c>
      <c r="BB12" s="2">
        <v>117</v>
      </c>
      <c r="BC12" s="2">
        <f t="shared" ref="BC12:BE12" si="69">_xlfn.RANK.EQ(BB12, BB$7:BB$375,0)</f>
        <v>91</v>
      </c>
      <c r="BD12" s="2">
        <v>266</v>
      </c>
      <c r="BE12" s="2">
        <f t="shared" si="69"/>
        <v>14</v>
      </c>
      <c r="BF12" s="2">
        <v>1420</v>
      </c>
      <c r="BG12" s="2">
        <f t="shared" ref="BG12:BI12" si="70">_xlfn.RANK.EQ(BF12, BF$7:BF$375,0)</f>
        <v>5</v>
      </c>
      <c r="BH12" s="2">
        <v>375</v>
      </c>
      <c r="BI12" s="2">
        <f t="shared" si="70"/>
        <v>11</v>
      </c>
      <c r="BM12" t="str">
        <v>宇都宮</v>
      </c>
    </row>
    <row r="13" spans="1:66" x14ac:dyDescent="0.55000000000000004">
      <c r="A13" s="2">
        <v>7</v>
      </c>
      <c r="B13" s="2" t="s">
        <v>43</v>
      </c>
      <c r="C13" s="2" t="s">
        <v>44</v>
      </c>
      <c r="D13" s="2">
        <v>48</v>
      </c>
      <c r="E13" s="2">
        <f t="shared" si="0"/>
        <v>201</v>
      </c>
      <c r="F13" s="2">
        <v>35</v>
      </c>
      <c r="G13" s="2">
        <f t="shared" ref="G13:I13" si="71">_xlfn.RANK.EQ(F13, F$7:F$375,0)</f>
        <v>101</v>
      </c>
      <c r="H13" s="3">
        <v>57.655555555555559</v>
      </c>
      <c r="I13" s="2">
        <f t="shared" si="71"/>
        <v>71</v>
      </c>
      <c r="J13" s="3">
        <v>1.2006944444444445</v>
      </c>
      <c r="K13" s="2">
        <f t="shared" ref="K13:M13" si="72">_xlfn.RANK.EQ(J13, J$7:J$375,0)</f>
        <v>27</v>
      </c>
      <c r="L13" s="2">
        <v>1101</v>
      </c>
      <c r="M13" s="2">
        <f t="shared" si="72"/>
        <v>7</v>
      </c>
      <c r="N13" s="2">
        <v>328</v>
      </c>
      <c r="O13" s="2">
        <f t="shared" ref="O13:Q13" si="73">_xlfn.RANK.EQ(N13, N$7:N$375,0)</f>
        <v>26</v>
      </c>
      <c r="P13" s="2">
        <v>723</v>
      </c>
      <c r="Q13" s="2">
        <f t="shared" si="73"/>
        <v>14</v>
      </c>
      <c r="R13" s="4">
        <v>0.45400000000000001</v>
      </c>
      <c r="S13" s="2">
        <f t="shared" ref="S13:U13" si="74">_xlfn.RANK.EQ(R13, R$7:R$375,0)</f>
        <v>115</v>
      </c>
      <c r="T13" s="2">
        <v>226</v>
      </c>
      <c r="U13" s="2">
        <f t="shared" si="74"/>
        <v>38</v>
      </c>
      <c r="V13" s="2">
        <v>426</v>
      </c>
      <c r="W13" s="2">
        <f t="shared" ref="W13:Y13" si="75">_xlfn.RANK.EQ(V13, V$7:V$375,0)</f>
        <v>27</v>
      </c>
      <c r="X13" s="4">
        <v>0.53100000000000003</v>
      </c>
      <c r="Y13" s="2">
        <f t="shared" si="75"/>
        <v>140</v>
      </c>
      <c r="Z13" s="2">
        <v>102</v>
      </c>
      <c r="AA13" s="2">
        <f t="shared" ref="AA13:AC13" si="76">_xlfn.RANK.EQ(Z13, Z$7:Z$375,0)</f>
        <v>31</v>
      </c>
      <c r="AB13" s="2">
        <v>297</v>
      </c>
      <c r="AC13" s="2">
        <f t="shared" si="76"/>
        <v>31</v>
      </c>
      <c r="AD13" s="4">
        <v>0.34300000000000003</v>
      </c>
      <c r="AE13" s="2">
        <f t="shared" ref="AE13:AG13" si="77">_xlfn.RANK.EQ(AD13, AD$7:AD$375,0)</f>
        <v>128</v>
      </c>
      <c r="AF13" s="2">
        <v>343</v>
      </c>
      <c r="AG13" s="2">
        <f t="shared" si="77"/>
        <v>2</v>
      </c>
      <c r="AH13" s="2">
        <v>394</v>
      </c>
      <c r="AI13" s="2">
        <f t="shared" ref="AI13:AK13" si="78">_xlfn.RANK.EQ(AH13, AH$7:AH$375,0)</f>
        <v>2</v>
      </c>
      <c r="AJ13" s="4">
        <v>0.871</v>
      </c>
      <c r="AK13" s="2">
        <f t="shared" si="78"/>
        <v>28</v>
      </c>
      <c r="AL13" s="2">
        <v>40</v>
      </c>
      <c r="AM13" s="2">
        <f t="shared" ref="AM13:AO13" si="79">_xlfn.RANK.EQ(AL13, AL$7:AL$375,0)</f>
        <v>110</v>
      </c>
      <c r="AN13" s="2">
        <v>273</v>
      </c>
      <c r="AO13" s="2">
        <f t="shared" si="79"/>
        <v>30</v>
      </c>
      <c r="AP13" s="2">
        <v>313</v>
      </c>
      <c r="AQ13" s="2">
        <f t="shared" ref="AQ13:AS13" si="80">_xlfn.RANK.EQ(AP13, AP$7:AP$375,0)</f>
        <v>57</v>
      </c>
      <c r="AR13" s="2">
        <v>215</v>
      </c>
      <c r="AS13" s="2">
        <f t="shared" si="80"/>
        <v>27</v>
      </c>
      <c r="AT13" s="2">
        <v>115</v>
      </c>
      <c r="AU13" s="2">
        <f t="shared" ref="AU13:AW13" si="81">_xlfn.RANK.EQ(AT13, AT$7:AT$375,0)</f>
        <v>26</v>
      </c>
      <c r="AV13" s="2">
        <v>77</v>
      </c>
      <c r="AW13" s="2">
        <f t="shared" si="81"/>
        <v>15</v>
      </c>
      <c r="AX13" s="2">
        <v>11</v>
      </c>
      <c r="AY13" s="2">
        <f t="shared" ref="AY13:BA13" si="82">_xlfn.RANK.EQ(AX13, AX$7:AX$375,0)</f>
        <v>97</v>
      </c>
      <c r="AZ13" s="2">
        <v>15</v>
      </c>
      <c r="BA13" s="2">
        <f t="shared" si="82"/>
        <v>87</v>
      </c>
      <c r="BB13" s="2">
        <v>85</v>
      </c>
      <c r="BC13" s="2">
        <f t="shared" ref="BC13:BE13" si="83">_xlfn.RANK.EQ(BB13, BB$7:BB$375,0)</f>
        <v>176</v>
      </c>
      <c r="BD13" s="2">
        <v>344</v>
      </c>
      <c r="BE13" s="2">
        <f t="shared" si="83"/>
        <v>4</v>
      </c>
      <c r="BF13" s="2">
        <v>1400</v>
      </c>
      <c r="BG13" s="2">
        <f t="shared" ref="BG13:BI13" si="84">_xlfn.RANK.EQ(BF13, BF$7:BF$375,0)</f>
        <v>6</v>
      </c>
      <c r="BH13" s="2">
        <v>14</v>
      </c>
      <c r="BI13" s="2">
        <f t="shared" si="84"/>
        <v>125</v>
      </c>
      <c r="BM13" t="str">
        <v>富山</v>
      </c>
    </row>
    <row r="14" spans="1:66" x14ac:dyDescent="0.55000000000000004">
      <c r="A14" s="2">
        <v>8</v>
      </c>
      <c r="B14" s="2" t="s">
        <v>45</v>
      </c>
      <c r="C14" s="2" t="s">
        <v>46</v>
      </c>
      <c r="D14" s="2">
        <v>52</v>
      </c>
      <c r="E14" s="2">
        <f t="shared" si="0"/>
        <v>176</v>
      </c>
      <c r="F14" s="2">
        <v>51</v>
      </c>
      <c r="G14" s="2">
        <f t="shared" ref="G14:I14" si="85">_xlfn.RANK.EQ(F14, F$7:F$375,0)</f>
        <v>46</v>
      </c>
      <c r="H14" s="3">
        <v>69.614583333333329</v>
      </c>
      <c r="I14" s="2">
        <f t="shared" si="85"/>
        <v>19</v>
      </c>
      <c r="J14" s="3">
        <v>1.3381944444444445</v>
      </c>
      <c r="K14" s="2">
        <f t="shared" ref="K14:M14" si="86">_xlfn.RANK.EQ(J14, J$7:J$375,0)</f>
        <v>1</v>
      </c>
      <c r="L14" s="2">
        <v>1057</v>
      </c>
      <c r="M14" s="2">
        <f t="shared" si="86"/>
        <v>8</v>
      </c>
      <c r="N14" s="2">
        <v>379</v>
      </c>
      <c r="O14" s="2">
        <f t="shared" ref="O14:Q14" si="87">_xlfn.RANK.EQ(N14, N$7:N$375,0)</f>
        <v>9</v>
      </c>
      <c r="P14" s="2">
        <v>801</v>
      </c>
      <c r="Q14" s="2">
        <f t="shared" si="87"/>
        <v>5</v>
      </c>
      <c r="R14" s="4">
        <v>0.47299999999999998</v>
      </c>
      <c r="S14" s="2">
        <f t="shared" ref="S14:U14" si="88">_xlfn.RANK.EQ(R14, R$7:R$375,0)</f>
        <v>88</v>
      </c>
      <c r="T14" s="2">
        <v>288</v>
      </c>
      <c r="U14" s="2">
        <f t="shared" si="88"/>
        <v>14</v>
      </c>
      <c r="V14" s="2">
        <v>510</v>
      </c>
      <c r="W14" s="2">
        <f t="shared" ref="W14:Y14" si="89">_xlfn.RANK.EQ(V14, V$7:V$375,0)</f>
        <v>12</v>
      </c>
      <c r="X14" s="4">
        <v>0.56499999999999995</v>
      </c>
      <c r="Y14" s="2">
        <f t="shared" si="89"/>
        <v>87</v>
      </c>
      <c r="Z14" s="2">
        <v>91</v>
      </c>
      <c r="AA14" s="2">
        <f t="shared" ref="AA14:AC14" si="90">_xlfn.RANK.EQ(Z14, Z$7:Z$375,0)</f>
        <v>46</v>
      </c>
      <c r="AB14" s="2">
        <v>291</v>
      </c>
      <c r="AC14" s="2">
        <f t="shared" si="90"/>
        <v>33</v>
      </c>
      <c r="AD14" s="4">
        <v>0.313</v>
      </c>
      <c r="AE14" s="2">
        <f t="shared" ref="AE14:AG14" si="91">_xlfn.RANK.EQ(AD14, AD$7:AD$375,0)</f>
        <v>195</v>
      </c>
      <c r="AF14" s="2">
        <v>208</v>
      </c>
      <c r="AG14" s="2">
        <f t="shared" si="91"/>
        <v>10</v>
      </c>
      <c r="AH14" s="2">
        <v>264</v>
      </c>
      <c r="AI14" s="2">
        <f t="shared" ref="AI14:AK14" si="92">_xlfn.RANK.EQ(AH14, AH$7:AH$375,0)</f>
        <v>15</v>
      </c>
      <c r="AJ14" s="4">
        <v>0.78800000000000003</v>
      </c>
      <c r="AK14" s="2">
        <f t="shared" si="92"/>
        <v>103</v>
      </c>
      <c r="AL14" s="2">
        <v>120</v>
      </c>
      <c r="AM14" s="2">
        <f t="shared" ref="AM14:AO14" si="93">_xlfn.RANK.EQ(AL14, AL$7:AL$375,0)</f>
        <v>29</v>
      </c>
      <c r="AN14" s="2">
        <v>302</v>
      </c>
      <c r="AO14" s="2">
        <f t="shared" si="93"/>
        <v>19</v>
      </c>
      <c r="AP14" s="2">
        <v>422</v>
      </c>
      <c r="AQ14" s="2">
        <f t="shared" ref="AQ14:AS14" si="94">_xlfn.RANK.EQ(AP14, AP$7:AP$375,0)</f>
        <v>19</v>
      </c>
      <c r="AR14" s="2">
        <v>195</v>
      </c>
      <c r="AS14" s="2">
        <f t="shared" si="94"/>
        <v>37</v>
      </c>
      <c r="AT14" s="2">
        <v>119</v>
      </c>
      <c r="AU14" s="2">
        <f t="shared" ref="AU14:AW14" si="95">_xlfn.RANK.EQ(AT14, AT$7:AT$375,0)</f>
        <v>24</v>
      </c>
      <c r="AV14" s="2">
        <v>63</v>
      </c>
      <c r="AW14" s="2">
        <f t="shared" si="95"/>
        <v>27</v>
      </c>
      <c r="AX14" s="2">
        <v>12</v>
      </c>
      <c r="AY14" s="2">
        <f t="shared" ref="AY14:BA14" si="96">_xlfn.RANK.EQ(AX14, AX$7:AX$375,0)</f>
        <v>88</v>
      </c>
      <c r="AZ14" s="2">
        <v>47</v>
      </c>
      <c r="BA14" s="2">
        <f t="shared" si="96"/>
        <v>1</v>
      </c>
      <c r="BB14" s="2">
        <v>114</v>
      </c>
      <c r="BC14" s="2">
        <f t="shared" ref="BC14:BE14" si="97">_xlfn.RANK.EQ(BB14, BB$7:BB$375,0)</f>
        <v>97</v>
      </c>
      <c r="BD14" s="2">
        <v>273</v>
      </c>
      <c r="BE14" s="2">
        <f t="shared" si="97"/>
        <v>12</v>
      </c>
      <c r="BF14" s="2">
        <v>1263</v>
      </c>
      <c r="BG14" s="2">
        <f t="shared" ref="BG14:BI14" si="98">_xlfn.RANK.EQ(BF14, BF$7:BF$375,0)</f>
        <v>15</v>
      </c>
      <c r="BH14" s="2">
        <v>-133</v>
      </c>
      <c r="BI14" s="2">
        <f t="shared" si="98"/>
        <v>308</v>
      </c>
      <c r="BM14" t="str">
        <v>大阪</v>
      </c>
    </row>
    <row r="15" spans="1:66" x14ac:dyDescent="0.55000000000000004">
      <c r="A15" s="2">
        <v>9</v>
      </c>
      <c r="B15" s="2" t="s">
        <v>47</v>
      </c>
      <c r="C15" s="2" t="s">
        <v>48</v>
      </c>
      <c r="D15" s="2">
        <v>58</v>
      </c>
      <c r="E15" s="2">
        <f t="shared" si="0"/>
        <v>78</v>
      </c>
      <c r="F15" s="2">
        <v>58</v>
      </c>
      <c r="G15" s="2">
        <f t="shared" ref="G15:I15" si="99">_xlfn.RANK.EQ(F15, F$7:F$375,0)</f>
        <v>20</v>
      </c>
      <c r="H15" s="3">
        <v>66.302777777777777</v>
      </c>
      <c r="I15" s="2">
        <f t="shared" si="99"/>
        <v>30</v>
      </c>
      <c r="J15" s="3">
        <v>1.1430555555555555</v>
      </c>
      <c r="K15" s="2">
        <f t="shared" ref="K15:M15" si="100">_xlfn.RANK.EQ(J15, J$7:J$375,0)</f>
        <v>42</v>
      </c>
      <c r="L15" s="2">
        <v>1053</v>
      </c>
      <c r="M15" s="2">
        <f t="shared" si="100"/>
        <v>9</v>
      </c>
      <c r="N15" s="2">
        <v>417</v>
      </c>
      <c r="O15" s="2">
        <f t="shared" ref="O15:Q15" si="101">_xlfn.RANK.EQ(N15, N$7:N$375,0)</f>
        <v>4</v>
      </c>
      <c r="P15" s="2">
        <v>785</v>
      </c>
      <c r="Q15" s="2">
        <f t="shared" si="101"/>
        <v>7</v>
      </c>
      <c r="R15" s="4">
        <v>0.53100000000000003</v>
      </c>
      <c r="S15" s="2">
        <f t="shared" ref="S15:U15" si="102">_xlfn.RANK.EQ(R15, R$7:R$375,0)</f>
        <v>49</v>
      </c>
      <c r="T15" s="2">
        <v>367</v>
      </c>
      <c r="U15" s="2">
        <f t="shared" si="102"/>
        <v>4</v>
      </c>
      <c r="V15" s="2">
        <v>608</v>
      </c>
      <c r="W15" s="2">
        <f t="shared" ref="W15:Y15" si="103">_xlfn.RANK.EQ(V15, V$7:V$375,0)</f>
        <v>4</v>
      </c>
      <c r="X15" s="4">
        <v>0.60399999999999998</v>
      </c>
      <c r="Y15" s="2">
        <f t="shared" si="103"/>
        <v>55</v>
      </c>
      <c r="Z15" s="2">
        <v>50</v>
      </c>
      <c r="AA15" s="2">
        <f t="shared" ref="AA15:AC15" si="104">_xlfn.RANK.EQ(Z15, Z$7:Z$375,0)</f>
        <v>124</v>
      </c>
      <c r="AB15" s="2">
        <v>177</v>
      </c>
      <c r="AC15" s="2">
        <f t="shared" si="104"/>
        <v>99</v>
      </c>
      <c r="AD15" s="4">
        <v>0.28199999999999997</v>
      </c>
      <c r="AE15" s="2">
        <f t="shared" ref="AE15:AG15" si="105">_xlfn.RANK.EQ(AD15, AD$7:AD$375,0)</f>
        <v>241</v>
      </c>
      <c r="AF15" s="2">
        <v>169</v>
      </c>
      <c r="AG15" s="2">
        <f t="shared" si="105"/>
        <v>25</v>
      </c>
      <c r="AH15" s="2">
        <v>336</v>
      </c>
      <c r="AI15" s="2">
        <f t="shared" ref="AI15:AK15" si="106">_xlfn.RANK.EQ(AH15, AH$7:AH$375,0)</f>
        <v>5</v>
      </c>
      <c r="AJ15" s="4">
        <v>0.503</v>
      </c>
      <c r="AK15" s="2">
        <f t="shared" si="106"/>
        <v>305</v>
      </c>
      <c r="AL15" s="2">
        <v>134</v>
      </c>
      <c r="AM15" s="2">
        <f t="shared" ref="AM15:AO15" si="107">_xlfn.RANK.EQ(AL15, AL$7:AL$375,0)</f>
        <v>20</v>
      </c>
      <c r="AN15" s="2">
        <v>345</v>
      </c>
      <c r="AO15" s="2">
        <f t="shared" si="107"/>
        <v>9</v>
      </c>
      <c r="AP15" s="2">
        <v>479</v>
      </c>
      <c r="AQ15" s="2">
        <f t="shared" ref="AQ15:AS15" si="108">_xlfn.RANK.EQ(AP15, AP$7:AP$375,0)</f>
        <v>8</v>
      </c>
      <c r="AR15" s="2">
        <v>140</v>
      </c>
      <c r="AS15" s="2">
        <f t="shared" si="108"/>
        <v>83</v>
      </c>
      <c r="AT15" s="2">
        <v>175</v>
      </c>
      <c r="AU15" s="2">
        <f t="shared" ref="AU15:AW15" si="109">_xlfn.RANK.EQ(AT15, AT$7:AT$375,0)</f>
        <v>2</v>
      </c>
      <c r="AV15" s="2">
        <v>88</v>
      </c>
      <c r="AW15" s="2">
        <f t="shared" si="109"/>
        <v>11</v>
      </c>
      <c r="AX15" s="2">
        <v>37</v>
      </c>
      <c r="AY15" s="2">
        <f t="shared" ref="AY15:BA15" si="110">_xlfn.RANK.EQ(AX15, AX$7:AX$375,0)</f>
        <v>28</v>
      </c>
      <c r="AZ15" s="2">
        <v>36</v>
      </c>
      <c r="BA15" s="2">
        <f t="shared" si="110"/>
        <v>8</v>
      </c>
      <c r="BB15" s="2">
        <v>174</v>
      </c>
      <c r="BC15" s="2">
        <f t="shared" ref="BC15:BE15" si="111">_xlfn.RANK.EQ(BB15, BB$7:BB$375,0)</f>
        <v>3</v>
      </c>
      <c r="BD15" s="2">
        <v>309</v>
      </c>
      <c r="BE15" s="2">
        <f t="shared" si="111"/>
        <v>7</v>
      </c>
      <c r="BF15" s="2">
        <v>1184</v>
      </c>
      <c r="BG15" s="2">
        <f t="shared" ref="BG15:BI15" si="112">_xlfn.RANK.EQ(BF15, BF$7:BF$375,0)</f>
        <v>21</v>
      </c>
      <c r="BH15" s="2">
        <v>-168</v>
      </c>
      <c r="BI15" s="2">
        <f t="shared" si="112"/>
        <v>329</v>
      </c>
      <c r="BM15" t="str">
        <v>滋賀</v>
      </c>
    </row>
    <row r="16" spans="1:66" x14ac:dyDescent="0.55000000000000004">
      <c r="A16" s="2">
        <v>10</v>
      </c>
      <c r="B16" s="2" t="s">
        <v>49</v>
      </c>
      <c r="C16" s="2" t="s">
        <v>50</v>
      </c>
      <c r="D16" s="2">
        <v>59</v>
      </c>
      <c r="E16" s="2">
        <f t="shared" si="0"/>
        <v>58</v>
      </c>
      <c r="F16" s="2">
        <v>59</v>
      </c>
      <c r="G16" s="2">
        <f t="shared" ref="G16:I16" si="113">_xlfn.RANK.EQ(F16, F$7:F$375,0)</f>
        <v>14</v>
      </c>
      <c r="H16" s="3">
        <v>66.454861111111114</v>
      </c>
      <c r="I16" s="2">
        <f t="shared" si="113"/>
        <v>29</v>
      </c>
      <c r="J16" s="3">
        <v>1.1256944444444446</v>
      </c>
      <c r="K16" s="2">
        <f t="shared" ref="K16:M16" si="114">_xlfn.RANK.EQ(J16, J$7:J$375,0)</f>
        <v>49</v>
      </c>
      <c r="L16" s="2">
        <v>1019</v>
      </c>
      <c r="M16" s="2">
        <f t="shared" si="114"/>
        <v>10</v>
      </c>
      <c r="N16" s="2">
        <v>394</v>
      </c>
      <c r="O16" s="2">
        <f t="shared" ref="O16:Q16" si="115">_xlfn.RANK.EQ(N16, N$7:N$375,0)</f>
        <v>7</v>
      </c>
      <c r="P16" s="2">
        <v>682</v>
      </c>
      <c r="Q16" s="2">
        <f t="shared" si="115"/>
        <v>21</v>
      </c>
      <c r="R16" s="4">
        <v>0.57799999999999996</v>
      </c>
      <c r="S16" s="2">
        <f t="shared" ref="S16:U16" si="116">_xlfn.RANK.EQ(R16, R$7:R$375,0)</f>
        <v>27</v>
      </c>
      <c r="T16" s="2">
        <v>368</v>
      </c>
      <c r="U16" s="2">
        <f t="shared" si="116"/>
        <v>3</v>
      </c>
      <c r="V16" s="2">
        <v>605</v>
      </c>
      <c r="W16" s="2">
        <f t="shared" ref="W16:Y16" si="117">_xlfn.RANK.EQ(V16, V$7:V$375,0)</f>
        <v>5</v>
      </c>
      <c r="X16" s="4">
        <v>0.60799999999999998</v>
      </c>
      <c r="Y16" s="2">
        <f t="shared" si="117"/>
        <v>50</v>
      </c>
      <c r="Z16" s="2">
        <v>26</v>
      </c>
      <c r="AA16" s="2">
        <f t="shared" ref="AA16:AC16" si="118">_xlfn.RANK.EQ(Z16, Z$7:Z$375,0)</f>
        <v>187</v>
      </c>
      <c r="AB16" s="2">
        <v>77</v>
      </c>
      <c r="AC16" s="2">
        <f t="shared" si="118"/>
        <v>198</v>
      </c>
      <c r="AD16" s="4">
        <v>0.33800000000000002</v>
      </c>
      <c r="AE16" s="2">
        <f t="shared" ref="AE16:AG16" si="119">_xlfn.RANK.EQ(AD16, AD$7:AD$375,0)</f>
        <v>141</v>
      </c>
      <c r="AF16" s="2">
        <v>205</v>
      </c>
      <c r="AG16" s="2">
        <f t="shared" si="119"/>
        <v>13</v>
      </c>
      <c r="AH16" s="2">
        <v>276</v>
      </c>
      <c r="AI16" s="2">
        <f t="shared" ref="AI16:AK16" si="120">_xlfn.RANK.EQ(AH16, AH$7:AH$375,0)</f>
        <v>12</v>
      </c>
      <c r="AJ16" s="4">
        <v>0.74299999999999999</v>
      </c>
      <c r="AK16" s="2">
        <f t="shared" si="120"/>
        <v>159</v>
      </c>
      <c r="AL16" s="2">
        <v>147</v>
      </c>
      <c r="AM16" s="2">
        <f t="shared" ref="AM16:AO16" si="121">_xlfn.RANK.EQ(AL16, AL$7:AL$375,0)</f>
        <v>16</v>
      </c>
      <c r="AN16" s="2">
        <v>286</v>
      </c>
      <c r="AO16" s="2">
        <f t="shared" si="121"/>
        <v>25</v>
      </c>
      <c r="AP16" s="2">
        <v>433</v>
      </c>
      <c r="AQ16" s="2">
        <f t="shared" ref="AQ16:AS16" si="122">_xlfn.RANK.EQ(AP16, AP$7:AP$375,0)</f>
        <v>17</v>
      </c>
      <c r="AR16" s="2">
        <v>84</v>
      </c>
      <c r="AS16" s="2">
        <f t="shared" si="122"/>
        <v>156</v>
      </c>
      <c r="AT16" s="2">
        <v>77</v>
      </c>
      <c r="AU16" s="2">
        <f t="shared" ref="AU16:AW16" si="123">_xlfn.RANK.EQ(AT16, AT$7:AT$375,0)</f>
        <v>84</v>
      </c>
      <c r="AV16" s="2">
        <v>40</v>
      </c>
      <c r="AW16" s="2">
        <f t="shared" si="123"/>
        <v>104</v>
      </c>
      <c r="AX16" s="2">
        <v>59</v>
      </c>
      <c r="AY16" s="2">
        <f t="shared" ref="AY16:BA16" si="124">_xlfn.RANK.EQ(AX16, AX$7:AX$375,0)</f>
        <v>5</v>
      </c>
      <c r="AZ16" s="2">
        <v>25</v>
      </c>
      <c r="BA16" s="2">
        <f t="shared" si="124"/>
        <v>25</v>
      </c>
      <c r="BB16" s="2">
        <v>136</v>
      </c>
      <c r="BC16" s="2">
        <f t="shared" ref="BC16:BE16" si="125">_xlfn.RANK.EQ(BB16, BB$7:BB$375,0)</f>
        <v>42</v>
      </c>
      <c r="BD16" s="2">
        <v>244</v>
      </c>
      <c r="BE16" s="2">
        <f t="shared" si="125"/>
        <v>21</v>
      </c>
      <c r="BF16" s="2">
        <v>1281</v>
      </c>
      <c r="BG16" s="2">
        <f t="shared" ref="BG16:BI16" si="126">_xlfn.RANK.EQ(BF16, BF$7:BF$375,0)</f>
        <v>14</v>
      </c>
      <c r="BH16" s="2">
        <v>255</v>
      </c>
      <c r="BI16" s="2">
        <f t="shared" si="126"/>
        <v>35</v>
      </c>
      <c r="BM16" t="str">
        <v>A東京</v>
      </c>
    </row>
    <row r="17" spans="1:65" x14ac:dyDescent="0.55000000000000004">
      <c r="A17" s="2">
        <v>11</v>
      </c>
      <c r="B17" s="2" t="s">
        <v>51</v>
      </c>
      <c r="C17" s="2" t="s">
        <v>52</v>
      </c>
      <c r="D17" s="2">
        <v>59</v>
      </c>
      <c r="E17" s="2">
        <f t="shared" si="0"/>
        <v>58</v>
      </c>
      <c r="F17" s="2">
        <v>55</v>
      </c>
      <c r="G17" s="2">
        <f t="shared" ref="G17:I17" si="127">_xlfn.RANK.EQ(F17, F$7:F$375,0)</f>
        <v>32</v>
      </c>
      <c r="H17" s="3">
        <v>75.222222222222229</v>
      </c>
      <c r="I17" s="2">
        <f t="shared" si="127"/>
        <v>7</v>
      </c>
      <c r="J17" s="3">
        <v>1.2743055555555556</v>
      </c>
      <c r="K17" s="2">
        <f t="shared" ref="K17:M17" si="128">_xlfn.RANK.EQ(J17, J$7:J$375,0)</f>
        <v>10</v>
      </c>
      <c r="L17" s="2">
        <v>1006</v>
      </c>
      <c r="M17" s="2">
        <f t="shared" si="128"/>
        <v>11</v>
      </c>
      <c r="N17" s="2">
        <v>383</v>
      </c>
      <c r="O17" s="2">
        <f t="shared" ref="O17:Q17" si="129">_xlfn.RANK.EQ(N17, N$7:N$375,0)</f>
        <v>8</v>
      </c>
      <c r="P17" s="2">
        <v>879</v>
      </c>
      <c r="Q17" s="2">
        <f t="shared" si="129"/>
        <v>4</v>
      </c>
      <c r="R17" s="4">
        <v>0.436</v>
      </c>
      <c r="S17" s="2">
        <f t="shared" ref="S17:U17" si="130">_xlfn.RANK.EQ(R17, R$7:R$375,0)</f>
        <v>137</v>
      </c>
      <c r="T17" s="2">
        <v>276</v>
      </c>
      <c r="U17" s="2">
        <f t="shared" si="130"/>
        <v>19</v>
      </c>
      <c r="V17" s="2">
        <v>579</v>
      </c>
      <c r="W17" s="2">
        <f t="shared" ref="W17:Y17" si="131">_xlfn.RANK.EQ(V17, V$7:V$375,0)</f>
        <v>6</v>
      </c>
      <c r="X17" s="4">
        <v>0.47699999999999998</v>
      </c>
      <c r="Y17" s="2">
        <f t="shared" si="131"/>
        <v>212</v>
      </c>
      <c r="Z17" s="2">
        <v>107</v>
      </c>
      <c r="AA17" s="2">
        <f t="shared" ref="AA17:AC17" si="132">_xlfn.RANK.EQ(Z17, Z$7:Z$375,0)</f>
        <v>27</v>
      </c>
      <c r="AB17" s="2">
        <v>300</v>
      </c>
      <c r="AC17" s="2">
        <f t="shared" si="132"/>
        <v>30</v>
      </c>
      <c r="AD17" s="4">
        <v>0.35699999999999998</v>
      </c>
      <c r="AE17" s="2">
        <f t="shared" ref="AE17:AG17" si="133">_xlfn.RANK.EQ(AD17, AD$7:AD$375,0)</f>
        <v>100</v>
      </c>
      <c r="AF17" s="2">
        <v>133</v>
      </c>
      <c r="AG17" s="2">
        <f t="shared" si="133"/>
        <v>44</v>
      </c>
      <c r="AH17" s="2">
        <v>179</v>
      </c>
      <c r="AI17" s="2">
        <f t="shared" ref="AI17:AK17" si="134">_xlfn.RANK.EQ(AH17, AH$7:AH$375,0)</f>
        <v>45</v>
      </c>
      <c r="AJ17" s="4">
        <v>0.74299999999999999</v>
      </c>
      <c r="AK17" s="2">
        <f t="shared" si="134"/>
        <v>159</v>
      </c>
      <c r="AL17" s="2">
        <v>67</v>
      </c>
      <c r="AM17" s="2">
        <f t="shared" ref="AM17:AO17" si="135">_xlfn.RANK.EQ(AL17, AL$7:AL$375,0)</f>
        <v>64</v>
      </c>
      <c r="AN17" s="2">
        <v>282</v>
      </c>
      <c r="AO17" s="2">
        <f t="shared" si="135"/>
        <v>27</v>
      </c>
      <c r="AP17" s="2">
        <v>349</v>
      </c>
      <c r="AQ17" s="2">
        <f t="shared" ref="AQ17:AS17" si="136">_xlfn.RANK.EQ(AP17, AP$7:AP$375,0)</f>
        <v>42</v>
      </c>
      <c r="AR17" s="2">
        <v>240</v>
      </c>
      <c r="AS17" s="2">
        <f t="shared" si="136"/>
        <v>21</v>
      </c>
      <c r="AT17" s="2">
        <v>143</v>
      </c>
      <c r="AU17" s="2">
        <f t="shared" ref="AU17:AW17" si="137">_xlfn.RANK.EQ(AT17, AT$7:AT$375,0)</f>
        <v>7</v>
      </c>
      <c r="AV17" s="2">
        <v>114</v>
      </c>
      <c r="AW17" s="2">
        <f t="shared" si="137"/>
        <v>1</v>
      </c>
      <c r="AX17" s="2">
        <v>66</v>
      </c>
      <c r="AY17" s="2">
        <f t="shared" ref="AY17:BA17" si="138">_xlfn.RANK.EQ(AX17, AX$7:AX$375,0)</f>
        <v>2</v>
      </c>
      <c r="AZ17" s="2">
        <v>22</v>
      </c>
      <c r="BA17" s="2">
        <f t="shared" si="138"/>
        <v>38</v>
      </c>
      <c r="BB17" s="2">
        <v>119</v>
      </c>
      <c r="BC17" s="2">
        <f t="shared" ref="BC17:BE17" si="139">_xlfn.RANK.EQ(BB17, BB$7:BB$375,0)</f>
        <v>85</v>
      </c>
      <c r="BD17" s="2">
        <v>185</v>
      </c>
      <c r="BE17" s="2">
        <f t="shared" si="139"/>
        <v>50</v>
      </c>
      <c r="BF17" s="2">
        <v>1131</v>
      </c>
      <c r="BG17" s="2">
        <f t="shared" ref="BG17:BI17" si="140">_xlfn.RANK.EQ(BF17, BF$7:BF$375,0)</f>
        <v>26</v>
      </c>
      <c r="BH17" s="2">
        <v>357</v>
      </c>
      <c r="BI17" s="2">
        <f t="shared" si="140"/>
        <v>13</v>
      </c>
      <c r="BM17" t="str">
        <v>名古屋D</v>
      </c>
    </row>
    <row r="18" spans="1:65" x14ac:dyDescent="0.55000000000000004">
      <c r="A18" s="2">
        <v>12</v>
      </c>
      <c r="B18" s="2" t="s">
        <v>53</v>
      </c>
      <c r="C18" s="2" t="s">
        <v>54</v>
      </c>
      <c r="D18" s="2">
        <v>60</v>
      </c>
      <c r="E18" s="2">
        <f t="shared" si="0"/>
        <v>1</v>
      </c>
      <c r="F18" s="2">
        <v>60</v>
      </c>
      <c r="G18" s="2">
        <f t="shared" ref="G18:I18" si="141">_xlfn.RANK.EQ(F18, F$7:F$375,0)</f>
        <v>1</v>
      </c>
      <c r="H18" s="3">
        <v>75.318749999999994</v>
      </c>
      <c r="I18" s="2">
        <f t="shared" si="141"/>
        <v>6</v>
      </c>
      <c r="J18" s="3">
        <v>1.2548611111111112</v>
      </c>
      <c r="K18" s="2">
        <f t="shared" ref="K18:M18" si="142">_xlfn.RANK.EQ(J18, J$7:J$375,0)</f>
        <v>14</v>
      </c>
      <c r="L18" s="2">
        <v>1004</v>
      </c>
      <c r="M18" s="2">
        <f t="shared" si="142"/>
        <v>12</v>
      </c>
      <c r="N18" s="2">
        <v>370</v>
      </c>
      <c r="O18" s="2">
        <f t="shared" ref="O18:Q18" si="143">_xlfn.RANK.EQ(N18, N$7:N$375,0)</f>
        <v>13</v>
      </c>
      <c r="P18" s="2">
        <v>696</v>
      </c>
      <c r="Q18" s="2">
        <f t="shared" si="143"/>
        <v>16</v>
      </c>
      <c r="R18" s="4">
        <v>0.53200000000000003</v>
      </c>
      <c r="S18" s="2">
        <f t="shared" ref="S18:U18" si="144">_xlfn.RANK.EQ(R18, R$7:R$375,0)</f>
        <v>48</v>
      </c>
      <c r="T18" s="2">
        <v>284</v>
      </c>
      <c r="U18" s="2">
        <f t="shared" si="144"/>
        <v>16</v>
      </c>
      <c r="V18" s="2">
        <v>482</v>
      </c>
      <c r="W18" s="2">
        <f t="shared" ref="W18:Y18" si="145">_xlfn.RANK.EQ(V18, V$7:V$375,0)</f>
        <v>16</v>
      </c>
      <c r="X18" s="4">
        <v>0.58899999999999997</v>
      </c>
      <c r="Y18" s="2">
        <f t="shared" si="145"/>
        <v>62</v>
      </c>
      <c r="Z18" s="2">
        <v>86</v>
      </c>
      <c r="AA18" s="2">
        <f t="shared" ref="AA18:AC18" si="146">_xlfn.RANK.EQ(Z18, Z$7:Z$375,0)</f>
        <v>50</v>
      </c>
      <c r="AB18" s="2">
        <v>214</v>
      </c>
      <c r="AC18" s="2">
        <f t="shared" si="146"/>
        <v>67</v>
      </c>
      <c r="AD18" s="4">
        <v>0.40200000000000002</v>
      </c>
      <c r="AE18" s="2">
        <f t="shared" ref="AE18:AG18" si="147">_xlfn.RANK.EQ(AD18, AD$7:AD$375,0)</f>
        <v>36</v>
      </c>
      <c r="AF18" s="2">
        <v>178</v>
      </c>
      <c r="AG18" s="2">
        <f t="shared" si="147"/>
        <v>20</v>
      </c>
      <c r="AH18" s="2">
        <v>204</v>
      </c>
      <c r="AI18" s="2">
        <f t="shared" ref="AI18:AK18" si="148">_xlfn.RANK.EQ(AH18, AH$7:AH$375,0)</f>
        <v>31</v>
      </c>
      <c r="AJ18" s="4">
        <v>0.873</v>
      </c>
      <c r="AK18" s="2">
        <f t="shared" si="148"/>
        <v>26</v>
      </c>
      <c r="AL18" s="2">
        <v>86</v>
      </c>
      <c r="AM18" s="2">
        <f t="shared" ref="AM18:AO18" si="149">_xlfn.RANK.EQ(AL18, AL$7:AL$375,0)</f>
        <v>48</v>
      </c>
      <c r="AN18" s="2">
        <v>311</v>
      </c>
      <c r="AO18" s="2">
        <f t="shared" si="149"/>
        <v>14</v>
      </c>
      <c r="AP18" s="2">
        <v>397</v>
      </c>
      <c r="AQ18" s="2">
        <f t="shared" ref="AQ18:AS18" si="150">_xlfn.RANK.EQ(AP18, AP$7:AP$375,0)</f>
        <v>28</v>
      </c>
      <c r="AR18" s="2">
        <v>192</v>
      </c>
      <c r="AS18" s="2">
        <f t="shared" si="150"/>
        <v>42</v>
      </c>
      <c r="AT18" s="2">
        <v>98</v>
      </c>
      <c r="AU18" s="2">
        <f t="shared" ref="AU18:AW18" si="151">_xlfn.RANK.EQ(AT18, AT$7:AT$375,0)</f>
        <v>50</v>
      </c>
      <c r="AV18" s="2">
        <v>40</v>
      </c>
      <c r="AW18" s="2">
        <f t="shared" si="151"/>
        <v>104</v>
      </c>
      <c r="AX18" s="2">
        <v>28</v>
      </c>
      <c r="AY18" s="2">
        <f t="shared" ref="AY18:BA18" si="152">_xlfn.RANK.EQ(AX18, AX$7:AX$375,0)</f>
        <v>42</v>
      </c>
      <c r="AZ18" s="2">
        <v>20</v>
      </c>
      <c r="BA18" s="2">
        <f t="shared" si="152"/>
        <v>46</v>
      </c>
      <c r="BB18" s="2">
        <v>141</v>
      </c>
      <c r="BC18" s="2">
        <f t="shared" ref="BC18:BE18" si="153">_xlfn.RANK.EQ(BB18, BB$7:BB$375,0)</f>
        <v>35</v>
      </c>
      <c r="BD18" s="2">
        <v>197</v>
      </c>
      <c r="BE18" s="2">
        <f t="shared" si="153"/>
        <v>43</v>
      </c>
      <c r="BF18" s="2">
        <v>1244</v>
      </c>
      <c r="BG18" s="2">
        <f t="shared" ref="BG18:BI18" si="154">_xlfn.RANK.EQ(BF18, BF$7:BF$375,0)</f>
        <v>18</v>
      </c>
      <c r="BH18" s="2">
        <v>441</v>
      </c>
      <c r="BI18" s="2">
        <f t="shared" si="154"/>
        <v>6</v>
      </c>
      <c r="BM18" t="str">
        <v>三河</v>
      </c>
    </row>
    <row r="19" spans="1:65" x14ac:dyDescent="0.55000000000000004">
      <c r="A19" s="2">
        <v>13</v>
      </c>
      <c r="B19" s="2" t="s">
        <v>55</v>
      </c>
      <c r="C19" s="2" t="s">
        <v>34</v>
      </c>
      <c r="D19" s="2">
        <v>57</v>
      </c>
      <c r="E19" s="2">
        <f t="shared" si="0"/>
        <v>100</v>
      </c>
      <c r="F19" s="2">
        <v>57</v>
      </c>
      <c r="G19" s="2">
        <f t="shared" ref="G19:I19" si="155">_xlfn.RANK.EQ(F19, F$7:F$375,0)</f>
        <v>23</v>
      </c>
      <c r="H19" s="3">
        <v>70.419444444444451</v>
      </c>
      <c r="I19" s="2">
        <f t="shared" si="155"/>
        <v>17</v>
      </c>
      <c r="J19" s="3">
        <v>1.2354166666666666</v>
      </c>
      <c r="K19" s="2">
        <f t="shared" ref="K19:M19" si="156">_xlfn.RANK.EQ(J19, J$7:J$375,0)</f>
        <v>17</v>
      </c>
      <c r="L19" s="2">
        <v>992</v>
      </c>
      <c r="M19" s="2">
        <f t="shared" si="156"/>
        <v>13</v>
      </c>
      <c r="N19" s="2">
        <v>334</v>
      </c>
      <c r="O19" s="2">
        <f t="shared" ref="O19:Q19" si="157">_xlfn.RANK.EQ(N19, N$7:N$375,0)</f>
        <v>22</v>
      </c>
      <c r="P19" s="2">
        <v>591</v>
      </c>
      <c r="Q19" s="2">
        <f t="shared" si="157"/>
        <v>38</v>
      </c>
      <c r="R19" s="4">
        <v>0.56499999999999995</v>
      </c>
      <c r="S19" s="2">
        <f t="shared" ref="S19:U19" si="158">_xlfn.RANK.EQ(R19, R$7:R$375,0)</f>
        <v>31</v>
      </c>
      <c r="T19" s="2">
        <v>147</v>
      </c>
      <c r="U19" s="2">
        <f t="shared" si="158"/>
        <v>72</v>
      </c>
      <c r="V19" s="2">
        <v>201</v>
      </c>
      <c r="W19" s="2">
        <f t="shared" ref="W19:Y19" si="159">_xlfn.RANK.EQ(V19, V$7:V$375,0)</f>
        <v>102</v>
      </c>
      <c r="X19" s="4">
        <v>0.73099999999999998</v>
      </c>
      <c r="Y19" s="2">
        <f t="shared" si="159"/>
        <v>8</v>
      </c>
      <c r="Z19" s="2">
        <v>187</v>
      </c>
      <c r="AA19" s="2">
        <f t="shared" ref="AA19:AC19" si="160">_xlfn.RANK.EQ(Z19, Z$7:Z$375,0)</f>
        <v>1</v>
      </c>
      <c r="AB19" s="2">
        <v>390</v>
      </c>
      <c r="AC19" s="2">
        <f t="shared" si="160"/>
        <v>8</v>
      </c>
      <c r="AD19" s="4">
        <v>0.47899999999999998</v>
      </c>
      <c r="AE19" s="2">
        <f t="shared" ref="AE19:AG19" si="161">_xlfn.RANK.EQ(AD19, AD$7:AD$375,0)</f>
        <v>12</v>
      </c>
      <c r="AF19" s="2">
        <v>137</v>
      </c>
      <c r="AG19" s="2">
        <f t="shared" si="161"/>
        <v>38</v>
      </c>
      <c r="AH19" s="2">
        <v>167</v>
      </c>
      <c r="AI19" s="2">
        <f t="shared" ref="AI19:AK19" si="162">_xlfn.RANK.EQ(AH19, AH$7:AH$375,0)</f>
        <v>56</v>
      </c>
      <c r="AJ19" s="4">
        <v>0.82</v>
      </c>
      <c r="AK19" s="2">
        <f t="shared" si="162"/>
        <v>64</v>
      </c>
      <c r="AL19" s="2">
        <v>73</v>
      </c>
      <c r="AM19" s="2">
        <f t="shared" ref="AM19:AO19" si="163">_xlfn.RANK.EQ(AL19, AL$7:AL$375,0)</f>
        <v>55</v>
      </c>
      <c r="AN19" s="2">
        <v>244</v>
      </c>
      <c r="AO19" s="2">
        <f t="shared" si="163"/>
        <v>46</v>
      </c>
      <c r="AP19" s="2">
        <v>317</v>
      </c>
      <c r="AQ19" s="2">
        <f t="shared" ref="AQ19:AS19" si="164">_xlfn.RANK.EQ(AP19, AP$7:AP$375,0)</f>
        <v>55</v>
      </c>
      <c r="AR19" s="2">
        <v>152</v>
      </c>
      <c r="AS19" s="2">
        <f t="shared" si="164"/>
        <v>70</v>
      </c>
      <c r="AT19" s="2">
        <v>54</v>
      </c>
      <c r="AU19" s="2">
        <f t="shared" ref="AU19:AW19" si="165">_xlfn.RANK.EQ(AT19, AT$7:AT$375,0)</f>
        <v>137</v>
      </c>
      <c r="AV19" s="2">
        <v>66</v>
      </c>
      <c r="AW19" s="2">
        <f t="shared" si="165"/>
        <v>25</v>
      </c>
      <c r="AX19" s="2">
        <v>28</v>
      </c>
      <c r="AY19" s="2">
        <f t="shared" ref="AY19:BA19" si="166">_xlfn.RANK.EQ(AX19, AX$7:AX$375,0)</f>
        <v>42</v>
      </c>
      <c r="AZ19" s="2">
        <v>7</v>
      </c>
      <c r="BA19" s="2">
        <f t="shared" si="166"/>
        <v>195</v>
      </c>
      <c r="BB19" s="2">
        <v>114</v>
      </c>
      <c r="BC19" s="2">
        <f t="shared" ref="BC19:BE19" si="167">_xlfn.RANK.EQ(BB19, BB$7:BB$375,0)</f>
        <v>97</v>
      </c>
      <c r="BD19" s="2">
        <v>164</v>
      </c>
      <c r="BE19" s="2">
        <f t="shared" si="167"/>
        <v>64</v>
      </c>
      <c r="BF19" s="2">
        <v>1257</v>
      </c>
      <c r="BG19" s="2">
        <f t="shared" ref="BG19:BI19" si="168">_xlfn.RANK.EQ(BF19, BF$7:BF$375,0)</f>
        <v>16</v>
      </c>
      <c r="BH19" s="2">
        <v>684</v>
      </c>
      <c r="BI19" s="2">
        <f t="shared" si="168"/>
        <v>1</v>
      </c>
      <c r="BM19" t="str">
        <v>島根</v>
      </c>
    </row>
    <row r="20" spans="1:65" x14ac:dyDescent="0.55000000000000004">
      <c r="A20" s="2">
        <v>14</v>
      </c>
      <c r="B20" s="2" t="s">
        <v>56</v>
      </c>
      <c r="C20" s="2" t="s">
        <v>57</v>
      </c>
      <c r="D20" s="2">
        <v>60</v>
      </c>
      <c r="E20" s="2">
        <f t="shared" si="0"/>
        <v>1</v>
      </c>
      <c r="F20" s="2">
        <v>60</v>
      </c>
      <c r="G20" s="2">
        <f t="shared" ref="G20:I20" si="169">_xlfn.RANK.EQ(F20, F$7:F$375,0)</f>
        <v>1</v>
      </c>
      <c r="H20" s="3">
        <v>77.81527777777778</v>
      </c>
      <c r="I20" s="2">
        <f t="shared" si="169"/>
        <v>3</v>
      </c>
      <c r="J20" s="3">
        <v>1.2965277777777777</v>
      </c>
      <c r="K20" s="2">
        <f t="shared" ref="K20:M20" si="170">_xlfn.RANK.EQ(J20, J$7:J$375,0)</f>
        <v>7</v>
      </c>
      <c r="L20" s="2">
        <v>975</v>
      </c>
      <c r="M20" s="2">
        <f t="shared" si="170"/>
        <v>14</v>
      </c>
      <c r="N20" s="2">
        <v>360</v>
      </c>
      <c r="O20" s="2">
        <f t="shared" ref="O20:Q20" si="171">_xlfn.RANK.EQ(N20, N$7:N$375,0)</f>
        <v>15</v>
      </c>
      <c r="P20" s="2">
        <v>625</v>
      </c>
      <c r="Q20" s="2">
        <f t="shared" si="171"/>
        <v>31</v>
      </c>
      <c r="R20" s="4">
        <v>0.57599999999999996</v>
      </c>
      <c r="S20" s="2">
        <f t="shared" ref="S20:U20" si="172">_xlfn.RANK.EQ(R20, R$7:R$375,0)</f>
        <v>28</v>
      </c>
      <c r="T20" s="2">
        <v>300</v>
      </c>
      <c r="U20" s="2">
        <f t="shared" si="172"/>
        <v>9</v>
      </c>
      <c r="V20" s="2">
        <v>469</v>
      </c>
      <c r="W20" s="2">
        <f t="shared" ref="W20:Y20" si="173">_xlfn.RANK.EQ(V20, V$7:V$375,0)</f>
        <v>17</v>
      </c>
      <c r="X20" s="4">
        <v>0.64</v>
      </c>
      <c r="Y20" s="2">
        <f t="shared" si="173"/>
        <v>26</v>
      </c>
      <c r="Z20" s="2">
        <v>60</v>
      </c>
      <c r="AA20" s="2">
        <f t="shared" ref="AA20:AC20" si="174">_xlfn.RANK.EQ(Z20, Z$7:Z$375,0)</f>
        <v>96</v>
      </c>
      <c r="AB20" s="2">
        <v>156</v>
      </c>
      <c r="AC20" s="2">
        <f t="shared" si="174"/>
        <v>117</v>
      </c>
      <c r="AD20" s="4">
        <v>0.38500000000000001</v>
      </c>
      <c r="AE20" s="2">
        <f t="shared" ref="AE20:AG20" si="175">_xlfn.RANK.EQ(AD20, AD$7:AD$375,0)</f>
        <v>59</v>
      </c>
      <c r="AF20" s="2">
        <v>195</v>
      </c>
      <c r="AG20" s="2">
        <f t="shared" si="175"/>
        <v>14</v>
      </c>
      <c r="AH20" s="2">
        <v>230</v>
      </c>
      <c r="AI20" s="2">
        <f t="shared" ref="AI20:AK20" si="176">_xlfn.RANK.EQ(AH20, AH$7:AH$375,0)</f>
        <v>22</v>
      </c>
      <c r="AJ20" s="4">
        <v>0.84799999999999998</v>
      </c>
      <c r="AK20" s="2">
        <f t="shared" si="176"/>
        <v>37</v>
      </c>
      <c r="AL20" s="2">
        <v>166</v>
      </c>
      <c r="AM20" s="2">
        <f t="shared" ref="AM20:AO20" si="177">_xlfn.RANK.EQ(AL20, AL$7:AL$375,0)</f>
        <v>10</v>
      </c>
      <c r="AN20" s="2">
        <v>373</v>
      </c>
      <c r="AO20" s="2">
        <f t="shared" si="177"/>
        <v>4</v>
      </c>
      <c r="AP20" s="2">
        <v>539</v>
      </c>
      <c r="AQ20" s="2">
        <f t="shared" ref="AQ20:AS20" si="178">_xlfn.RANK.EQ(AP20, AP$7:AP$375,0)</f>
        <v>6</v>
      </c>
      <c r="AR20" s="2">
        <v>209</v>
      </c>
      <c r="AS20" s="2">
        <f t="shared" si="178"/>
        <v>30</v>
      </c>
      <c r="AT20" s="2">
        <v>71</v>
      </c>
      <c r="AU20" s="2">
        <f t="shared" ref="AU20:AW20" si="179">_xlfn.RANK.EQ(AT20, AT$7:AT$375,0)</f>
        <v>92</v>
      </c>
      <c r="AV20" s="2">
        <v>90</v>
      </c>
      <c r="AW20" s="2">
        <f t="shared" si="179"/>
        <v>8</v>
      </c>
      <c r="AX20" s="2">
        <v>40</v>
      </c>
      <c r="AY20" s="2">
        <f t="shared" ref="AY20:BA20" si="180">_xlfn.RANK.EQ(AX20, AX$7:AX$375,0)</f>
        <v>22</v>
      </c>
      <c r="AZ20" s="2">
        <v>16</v>
      </c>
      <c r="BA20" s="2">
        <f t="shared" si="180"/>
        <v>80</v>
      </c>
      <c r="BB20" s="2">
        <v>84</v>
      </c>
      <c r="BC20" s="2">
        <f t="shared" ref="BC20:BE20" si="181">_xlfn.RANK.EQ(BB20, BB$7:BB$375,0)</f>
        <v>180</v>
      </c>
      <c r="BD20" s="2">
        <v>271</v>
      </c>
      <c r="BE20" s="2">
        <f t="shared" si="181"/>
        <v>13</v>
      </c>
      <c r="BF20" s="2">
        <v>1653</v>
      </c>
      <c r="BG20" s="2">
        <f t="shared" ref="BG20:BI20" si="182">_xlfn.RANK.EQ(BF20, BF$7:BF$375,0)</f>
        <v>2</v>
      </c>
      <c r="BH20" s="2">
        <v>87</v>
      </c>
      <c r="BI20" s="2">
        <f t="shared" si="182"/>
        <v>85</v>
      </c>
      <c r="BM20" t="str">
        <v>SR渋谷</v>
      </c>
    </row>
    <row r="21" spans="1:65" x14ac:dyDescent="0.55000000000000004">
      <c r="A21" s="2">
        <v>14</v>
      </c>
      <c r="B21" s="2" t="s">
        <v>58</v>
      </c>
      <c r="C21" s="2" t="s">
        <v>44</v>
      </c>
      <c r="D21" s="2">
        <v>58</v>
      </c>
      <c r="E21" s="2">
        <f t="shared" si="0"/>
        <v>78</v>
      </c>
      <c r="F21" s="2">
        <v>51</v>
      </c>
      <c r="G21" s="2">
        <f t="shared" ref="G21:I21" si="183">_xlfn.RANK.EQ(F21, F$7:F$375,0)</f>
        <v>46</v>
      </c>
      <c r="H21" s="3">
        <v>66.020138888888894</v>
      </c>
      <c r="I21" s="2">
        <f t="shared" si="183"/>
        <v>33</v>
      </c>
      <c r="J21" s="3">
        <v>1.1381944444444445</v>
      </c>
      <c r="K21" s="2">
        <f t="shared" ref="K21:M21" si="184">_xlfn.RANK.EQ(J21, J$7:J$375,0)</f>
        <v>44</v>
      </c>
      <c r="L21" s="2">
        <v>975</v>
      </c>
      <c r="M21" s="2">
        <f t="shared" si="184"/>
        <v>14</v>
      </c>
      <c r="N21" s="2">
        <v>376</v>
      </c>
      <c r="O21" s="2">
        <f t="shared" ref="O21:Q21" si="185">_xlfn.RANK.EQ(N21, N$7:N$375,0)</f>
        <v>10</v>
      </c>
      <c r="P21" s="2">
        <v>740</v>
      </c>
      <c r="Q21" s="2">
        <f t="shared" si="185"/>
        <v>11</v>
      </c>
      <c r="R21" s="4">
        <v>0.50800000000000001</v>
      </c>
      <c r="S21" s="2">
        <f t="shared" ref="S21:U21" si="186">_xlfn.RANK.EQ(R21, R$7:R$375,0)</f>
        <v>63</v>
      </c>
      <c r="T21" s="2">
        <v>281</v>
      </c>
      <c r="U21" s="2">
        <f t="shared" si="186"/>
        <v>17</v>
      </c>
      <c r="V21" s="2">
        <v>485</v>
      </c>
      <c r="W21" s="2">
        <f t="shared" ref="W21:Y21" si="187">_xlfn.RANK.EQ(V21, V$7:V$375,0)</f>
        <v>15</v>
      </c>
      <c r="X21" s="4">
        <v>0.57899999999999996</v>
      </c>
      <c r="Y21" s="2">
        <f t="shared" si="187"/>
        <v>76</v>
      </c>
      <c r="Z21" s="2">
        <v>95</v>
      </c>
      <c r="AA21" s="2">
        <f t="shared" ref="AA21:AC21" si="188">_xlfn.RANK.EQ(Z21, Z$7:Z$375,0)</f>
        <v>39</v>
      </c>
      <c r="AB21" s="2">
        <v>255</v>
      </c>
      <c r="AC21" s="2">
        <f t="shared" si="188"/>
        <v>45</v>
      </c>
      <c r="AD21" s="4">
        <v>0.373</v>
      </c>
      <c r="AE21" s="2">
        <f t="shared" ref="AE21:AG21" si="189">_xlfn.RANK.EQ(AD21, AD$7:AD$375,0)</f>
        <v>76</v>
      </c>
      <c r="AF21" s="2">
        <v>128</v>
      </c>
      <c r="AG21" s="2">
        <f t="shared" si="189"/>
        <v>46</v>
      </c>
      <c r="AH21" s="2">
        <v>169</v>
      </c>
      <c r="AI21" s="2">
        <f t="shared" ref="AI21:AK21" si="190">_xlfn.RANK.EQ(AH21, AH$7:AH$375,0)</f>
        <v>54</v>
      </c>
      <c r="AJ21" s="4">
        <v>0.75700000000000001</v>
      </c>
      <c r="AK21" s="2">
        <f t="shared" si="190"/>
        <v>141</v>
      </c>
      <c r="AL21" s="2">
        <v>76</v>
      </c>
      <c r="AM21" s="2">
        <f t="shared" ref="AM21:AO21" si="191">_xlfn.RANK.EQ(AL21, AL$7:AL$375,0)</f>
        <v>52</v>
      </c>
      <c r="AN21" s="2">
        <v>258</v>
      </c>
      <c r="AO21" s="2">
        <f t="shared" si="191"/>
        <v>38</v>
      </c>
      <c r="AP21" s="2">
        <v>334</v>
      </c>
      <c r="AQ21" s="2">
        <f t="shared" ref="AQ21:AS21" si="192">_xlfn.RANK.EQ(AP21, AP$7:AP$375,0)</f>
        <v>49</v>
      </c>
      <c r="AR21" s="2">
        <v>174</v>
      </c>
      <c r="AS21" s="2">
        <f t="shared" si="192"/>
        <v>56</v>
      </c>
      <c r="AT21" s="2">
        <v>124</v>
      </c>
      <c r="AU21" s="2">
        <f t="shared" ref="AU21:AW21" si="193">_xlfn.RANK.EQ(AT21, AT$7:AT$375,0)</f>
        <v>19</v>
      </c>
      <c r="AV21" s="2">
        <v>60</v>
      </c>
      <c r="AW21" s="2">
        <f t="shared" si="193"/>
        <v>33</v>
      </c>
      <c r="AX21" s="2">
        <v>22</v>
      </c>
      <c r="AY21" s="2">
        <f t="shared" ref="AY21:BA21" si="194">_xlfn.RANK.EQ(AX21, AX$7:AX$375,0)</f>
        <v>59</v>
      </c>
      <c r="AZ21" s="2">
        <v>35</v>
      </c>
      <c r="BA21" s="2">
        <f t="shared" si="194"/>
        <v>9</v>
      </c>
      <c r="BB21" s="2">
        <v>126</v>
      </c>
      <c r="BC21" s="2">
        <f t="shared" ref="BC21:BE21" si="195">_xlfn.RANK.EQ(BB21, BB$7:BB$375,0)</f>
        <v>65</v>
      </c>
      <c r="BD21" s="2">
        <v>169</v>
      </c>
      <c r="BE21" s="2">
        <f t="shared" si="195"/>
        <v>60</v>
      </c>
      <c r="BF21" s="2">
        <v>1043</v>
      </c>
      <c r="BG21" s="2">
        <f t="shared" ref="BG21:BI21" si="196">_xlfn.RANK.EQ(BF21, BF$7:BF$375,0)</f>
        <v>32</v>
      </c>
      <c r="BH21" s="2">
        <v>-261</v>
      </c>
      <c r="BI21" s="2">
        <f t="shared" si="196"/>
        <v>354</v>
      </c>
      <c r="BM21" t="str">
        <v>千葉J</v>
      </c>
    </row>
    <row r="22" spans="1:65" x14ac:dyDescent="0.55000000000000004">
      <c r="A22" s="2">
        <v>16</v>
      </c>
      <c r="B22" s="2" t="s">
        <v>59</v>
      </c>
      <c r="C22" s="2" t="s">
        <v>40</v>
      </c>
      <c r="D22" s="2">
        <v>56</v>
      </c>
      <c r="E22" s="2">
        <f t="shared" si="0"/>
        <v>124</v>
      </c>
      <c r="F22" s="2">
        <v>54</v>
      </c>
      <c r="G22" s="2">
        <f t="shared" ref="G22:I22" si="197">_xlfn.RANK.EQ(F22, F$7:F$375,0)</f>
        <v>34</v>
      </c>
      <c r="H22" s="3">
        <v>64.311111111111117</v>
      </c>
      <c r="I22" s="2">
        <f t="shared" si="197"/>
        <v>38</v>
      </c>
      <c r="J22" s="3">
        <v>1.1479166666666667</v>
      </c>
      <c r="K22" s="2">
        <f t="shared" ref="K22:M22" si="198">_xlfn.RANK.EQ(J22, J$7:J$375,0)</f>
        <v>40</v>
      </c>
      <c r="L22" s="2">
        <v>964</v>
      </c>
      <c r="M22" s="2">
        <f t="shared" si="198"/>
        <v>16</v>
      </c>
      <c r="N22" s="2">
        <v>395</v>
      </c>
      <c r="O22" s="2">
        <f t="shared" ref="O22:Q22" si="199">_xlfn.RANK.EQ(N22, N$7:N$375,0)</f>
        <v>6</v>
      </c>
      <c r="P22" s="2">
        <v>652</v>
      </c>
      <c r="Q22" s="2">
        <f t="shared" si="199"/>
        <v>22</v>
      </c>
      <c r="R22" s="4">
        <v>0.60599999999999998</v>
      </c>
      <c r="S22" s="2">
        <f t="shared" ref="S22:U22" si="200">_xlfn.RANK.EQ(R22, R$7:R$375,0)</f>
        <v>14</v>
      </c>
      <c r="T22" s="2">
        <v>395</v>
      </c>
      <c r="U22" s="2">
        <f t="shared" si="200"/>
        <v>1</v>
      </c>
      <c r="V22" s="2">
        <v>652</v>
      </c>
      <c r="W22" s="2">
        <f t="shared" ref="W22:Y22" si="201">_xlfn.RANK.EQ(V22, V$7:V$375,0)</f>
        <v>2</v>
      </c>
      <c r="X22" s="4">
        <v>0.60599999999999998</v>
      </c>
      <c r="Y22" s="2">
        <f t="shared" si="201"/>
        <v>51</v>
      </c>
      <c r="Z22" s="2">
        <v>0</v>
      </c>
      <c r="AA22" s="2">
        <f t="shared" ref="AA22:AC22" si="202">_xlfn.RANK.EQ(Z22, Z$7:Z$375,0)</f>
        <v>329</v>
      </c>
      <c r="AB22" s="2">
        <v>0</v>
      </c>
      <c r="AC22" s="2">
        <f t="shared" si="202"/>
        <v>360</v>
      </c>
      <c r="AD22" s="4">
        <v>0</v>
      </c>
      <c r="AE22" s="2">
        <f t="shared" ref="AE22:AG22" si="203">_xlfn.RANK.EQ(AD22, AD$7:AD$375,0)</f>
        <v>329</v>
      </c>
      <c r="AF22" s="2">
        <v>174</v>
      </c>
      <c r="AG22" s="2">
        <f t="shared" si="203"/>
        <v>22</v>
      </c>
      <c r="AH22" s="2">
        <v>290</v>
      </c>
      <c r="AI22" s="2">
        <f t="shared" ref="AI22:AK22" si="204">_xlfn.RANK.EQ(AH22, AH$7:AH$375,0)</f>
        <v>10</v>
      </c>
      <c r="AJ22" s="4">
        <v>0.6</v>
      </c>
      <c r="AK22" s="2">
        <f t="shared" si="204"/>
        <v>273</v>
      </c>
      <c r="AL22" s="2">
        <v>227</v>
      </c>
      <c r="AM22" s="2">
        <f t="shared" ref="AM22:AO22" si="205">_xlfn.RANK.EQ(AL22, AL$7:AL$375,0)</f>
        <v>2</v>
      </c>
      <c r="AN22" s="2">
        <v>317</v>
      </c>
      <c r="AO22" s="2">
        <f t="shared" si="205"/>
        <v>13</v>
      </c>
      <c r="AP22" s="2">
        <v>544</v>
      </c>
      <c r="AQ22" s="2">
        <f t="shared" ref="AQ22:AS22" si="206">_xlfn.RANK.EQ(AP22, AP$7:AP$375,0)</f>
        <v>5</v>
      </c>
      <c r="AR22" s="2">
        <v>115</v>
      </c>
      <c r="AS22" s="2">
        <f t="shared" si="206"/>
        <v>102</v>
      </c>
      <c r="AT22" s="2">
        <v>133</v>
      </c>
      <c r="AU22" s="2">
        <f t="shared" ref="AU22:AW22" si="207">_xlfn.RANK.EQ(AT22, AT$7:AT$375,0)</f>
        <v>11</v>
      </c>
      <c r="AV22" s="2">
        <v>23</v>
      </c>
      <c r="AW22" s="2">
        <f t="shared" si="207"/>
        <v>190</v>
      </c>
      <c r="AX22" s="2">
        <v>24</v>
      </c>
      <c r="AY22" s="2">
        <f t="shared" ref="AY22:BA22" si="208">_xlfn.RANK.EQ(AX22, AX$7:AX$375,0)</f>
        <v>56</v>
      </c>
      <c r="AZ22" s="2">
        <v>34</v>
      </c>
      <c r="BA22" s="2">
        <f t="shared" si="208"/>
        <v>11</v>
      </c>
      <c r="BB22" s="2">
        <v>95</v>
      </c>
      <c r="BC22" s="2">
        <f t="shared" ref="BC22:BE22" si="209">_xlfn.RANK.EQ(BB22, BB$7:BB$375,0)</f>
        <v>152</v>
      </c>
      <c r="BD22" s="2">
        <v>250</v>
      </c>
      <c r="BE22" s="2">
        <f t="shared" si="209"/>
        <v>19</v>
      </c>
      <c r="BF22" s="2">
        <v>1284</v>
      </c>
      <c r="BG22" s="2">
        <f t="shared" ref="BG22:BI22" si="210">_xlfn.RANK.EQ(BF22, BF$7:BF$375,0)</f>
        <v>13</v>
      </c>
      <c r="BH22" s="2">
        <v>180</v>
      </c>
      <c r="BI22" s="2">
        <f t="shared" si="210"/>
        <v>50</v>
      </c>
      <c r="BM22" t="str">
        <v>群馬</v>
      </c>
    </row>
    <row r="23" spans="1:65" x14ac:dyDescent="0.55000000000000004">
      <c r="A23" s="2">
        <v>17</v>
      </c>
      <c r="B23" s="2" t="s">
        <v>60</v>
      </c>
      <c r="C23" s="2" t="s">
        <v>34</v>
      </c>
      <c r="D23" s="2">
        <v>60</v>
      </c>
      <c r="E23" s="2">
        <f t="shared" si="0"/>
        <v>1</v>
      </c>
      <c r="F23" s="2">
        <v>60</v>
      </c>
      <c r="G23" s="2">
        <f t="shared" ref="G23:I23" si="211">_xlfn.RANK.EQ(F23, F$7:F$375,0)</f>
        <v>1</v>
      </c>
      <c r="H23" s="3">
        <v>72.63333333333334</v>
      </c>
      <c r="I23" s="2">
        <f t="shared" si="211"/>
        <v>11</v>
      </c>
      <c r="J23" s="3">
        <v>1.2104166666666667</v>
      </c>
      <c r="K23" s="2">
        <f t="shared" ref="K23:M23" si="212">_xlfn.RANK.EQ(J23, J$7:J$375,0)</f>
        <v>24</v>
      </c>
      <c r="L23" s="2">
        <v>958</v>
      </c>
      <c r="M23" s="2">
        <f t="shared" si="212"/>
        <v>17</v>
      </c>
      <c r="N23" s="2">
        <v>361</v>
      </c>
      <c r="O23" s="2">
        <f t="shared" ref="O23:Q23" si="213">_xlfn.RANK.EQ(N23, N$7:N$375,0)</f>
        <v>14</v>
      </c>
      <c r="P23" s="2">
        <v>789</v>
      </c>
      <c r="Q23" s="2">
        <f t="shared" si="213"/>
        <v>6</v>
      </c>
      <c r="R23" s="4">
        <v>0.45800000000000002</v>
      </c>
      <c r="S23" s="2">
        <f t="shared" ref="S23:U23" si="214">_xlfn.RANK.EQ(R23, R$7:R$375,0)</f>
        <v>107</v>
      </c>
      <c r="T23" s="2">
        <v>255</v>
      </c>
      <c r="U23" s="2">
        <f t="shared" si="214"/>
        <v>26</v>
      </c>
      <c r="V23" s="2">
        <v>466</v>
      </c>
      <c r="W23" s="2">
        <f t="shared" ref="W23:Y23" si="215">_xlfn.RANK.EQ(V23, V$7:V$375,0)</f>
        <v>18</v>
      </c>
      <c r="X23" s="4">
        <v>0.54700000000000004</v>
      </c>
      <c r="Y23" s="2">
        <f t="shared" si="215"/>
        <v>114</v>
      </c>
      <c r="Z23" s="2">
        <v>106</v>
      </c>
      <c r="AA23" s="2">
        <f t="shared" ref="AA23:AC23" si="216">_xlfn.RANK.EQ(Z23, Z$7:Z$375,0)</f>
        <v>28</v>
      </c>
      <c r="AB23" s="2">
        <v>323</v>
      </c>
      <c r="AC23" s="2">
        <f t="shared" si="216"/>
        <v>22</v>
      </c>
      <c r="AD23" s="4">
        <v>0.32800000000000001</v>
      </c>
      <c r="AE23" s="2">
        <f t="shared" ref="AE23:AG23" si="217">_xlfn.RANK.EQ(AD23, AD$7:AD$375,0)</f>
        <v>164</v>
      </c>
      <c r="AF23" s="2">
        <v>130</v>
      </c>
      <c r="AG23" s="2">
        <f t="shared" si="217"/>
        <v>45</v>
      </c>
      <c r="AH23" s="2">
        <v>173</v>
      </c>
      <c r="AI23" s="2">
        <f t="shared" ref="AI23:AK23" si="218">_xlfn.RANK.EQ(AH23, AH$7:AH$375,0)</f>
        <v>51</v>
      </c>
      <c r="AJ23" s="4">
        <v>0.751</v>
      </c>
      <c r="AK23" s="2">
        <f t="shared" si="218"/>
        <v>147</v>
      </c>
      <c r="AL23" s="2">
        <v>69</v>
      </c>
      <c r="AM23" s="2">
        <f t="shared" ref="AM23:AO23" si="219">_xlfn.RANK.EQ(AL23, AL$7:AL$375,0)</f>
        <v>60</v>
      </c>
      <c r="AN23" s="2">
        <v>249</v>
      </c>
      <c r="AO23" s="2">
        <f t="shared" si="219"/>
        <v>43</v>
      </c>
      <c r="AP23" s="2">
        <v>318</v>
      </c>
      <c r="AQ23" s="2">
        <f t="shared" ref="AQ23:AS23" si="220">_xlfn.RANK.EQ(AP23, AP$7:AP$375,0)</f>
        <v>53</v>
      </c>
      <c r="AR23" s="2">
        <v>288</v>
      </c>
      <c r="AS23" s="2">
        <f t="shared" si="220"/>
        <v>8</v>
      </c>
      <c r="AT23" s="2">
        <v>144</v>
      </c>
      <c r="AU23" s="2">
        <f t="shared" ref="AU23:AW23" si="221">_xlfn.RANK.EQ(AT23, AT$7:AT$375,0)</f>
        <v>6</v>
      </c>
      <c r="AV23" s="2">
        <v>100</v>
      </c>
      <c r="AW23" s="2">
        <f t="shared" si="221"/>
        <v>5</v>
      </c>
      <c r="AX23" s="2">
        <v>37</v>
      </c>
      <c r="AY23" s="2">
        <f t="shared" ref="AY23:BA23" si="222">_xlfn.RANK.EQ(AX23, AX$7:AX$375,0)</f>
        <v>28</v>
      </c>
      <c r="AZ23" s="2">
        <v>30</v>
      </c>
      <c r="BA23" s="2">
        <f t="shared" si="222"/>
        <v>18</v>
      </c>
      <c r="BB23" s="2">
        <v>169</v>
      </c>
      <c r="BC23" s="2">
        <f t="shared" ref="BC23:BE23" si="223">_xlfn.RANK.EQ(BB23, BB$7:BB$375,0)</f>
        <v>5</v>
      </c>
      <c r="BD23" s="2">
        <v>203</v>
      </c>
      <c r="BE23" s="2">
        <f t="shared" si="223"/>
        <v>38</v>
      </c>
      <c r="BF23" s="2">
        <v>1085</v>
      </c>
      <c r="BG23" s="2">
        <f t="shared" ref="BG23:BI23" si="224">_xlfn.RANK.EQ(BF23, BF$7:BF$375,0)</f>
        <v>30</v>
      </c>
      <c r="BH23" s="2">
        <v>618</v>
      </c>
      <c r="BI23" s="2">
        <f t="shared" si="224"/>
        <v>2</v>
      </c>
      <c r="BM23" t="str">
        <v>横浜BC</v>
      </c>
    </row>
    <row r="24" spans="1:65" x14ac:dyDescent="0.55000000000000004">
      <c r="A24" s="2">
        <v>18</v>
      </c>
      <c r="B24" s="2" t="s">
        <v>61</v>
      </c>
      <c r="C24" s="2" t="s">
        <v>62</v>
      </c>
      <c r="D24" s="2">
        <v>60</v>
      </c>
      <c r="E24" s="2">
        <f t="shared" si="0"/>
        <v>1</v>
      </c>
      <c r="F24" s="2">
        <v>60</v>
      </c>
      <c r="G24" s="2">
        <f t="shared" ref="G24:I24" si="225">_xlfn.RANK.EQ(F24, F$7:F$375,0)</f>
        <v>1</v>
      </c>
      <c r="H24" s="3">
        <v>75.597916666666663</v>
      </c>
      <c r="I24" s="2">
        <f t="shared" si="225"/>
        <v>5</v>
      </c>
      <c r="J24" s="3">
        <v>1.2597222222222222</v>
      </c>
      <c r="K24" s="2">
        <f t="shared" ref="K24:M24" si="226">_xlfn.RANK.EQ(J24, J$7:J$375,0)</f>
        <v>13</v>
      </c>
      <c r="L24" s="2">
        <v>945</v>
      </c>
      <c r="M24" s="2">
        <f t="shared" si="226"/>
        <v>18</v>
      </c>
      <c r="N24" s="2">
        <v>340</v>
      </c>
      <c r="O24" s="2">
        <f t="shared" ref="O24:Q24" si="227">_xlfn.RANK.EQ(N24, N$7:N$375,0)</f>
        <v>19</v>
      </c>
      <c r="P24" s="2">
        <v>690</v>
      </c>
      <c r="Q24" s="2">
        <f t="shared" si="227"/>
        <v>19</v>
      </c>
      <c r="R24" s="4">
        <v>0.49299999999999999</v>
      </c>
      <c r="S24" s="2">
        <f t="shared" ref="S24:U24" si="228">_xlfn.RANK.EQ(R24, R$7:R$375,0)</f>
        <v>73</v>
      </c>
      <c r="T24" s="2">
        <v>243</v>
      </c>
      <c r="U24" s="2">
        <f t="shared" si="228"/>
        <v>30</v>
      </c>
      <c r="V24" s="2">
        <v>446</v>
      </c>
      <c r="W24" s="2">
        <f t="shared" ref="W24:Y24" si="229">_xlfn.RANK.EQ(V24, V$7:V$375,0)</f>
        <v>20</v>
      </c>
      <c r="X24" s="4">
        <v>0.54500000000000004</v>
      </c>
      <c r="Y24" s="2">
        <f t="shared" si="229"/>
        <v>117</v>
      </c>
      <c r="Z24" s="2">
        <v>97</v>
      </c>
      <c r="AA24" s="2">
        <f t="shared" ref="AA24:AC24" si="230">_xlfn.RANK.EQ(Z24, Z$7:Z$375,0)</f>
        <v>34</v>
      </c>
      <c r="AB24" s="2">
        <v>244</v>
      </c>
      <c r="AC24" s="2">
        <f t="shared" si="230"/>
        <v>50</v>
      </c>
      <c r="AD24" s="4">
        <v>0.39800000000000002</v>
      </c>
      <c r="AE24" s="2">
        <f t="shared" ref="AE24:AG24" si="231">_xlfn.RANK.EQ(AD24, AD$7:AD$375,0)</f>
        <v>42</v>
      </c>
      <c r="AF24" s="2">
        <v>168</v>
      </c>
      <c r="AG24" s="2">
        <f t="shared" si="231"/>
        <v>26</v>
      </c>
      <c r="AH24" s="2">
        <v>193</v>
      </c>
      <c r="AI24" s="2">
        <f t="shared" ref="AI24:AK24" si="232">_xlfn.RANK.EQ(AH24, AH$7:AH$375,0)</f>
        <v>34</v>
      </c>
      <c r="AJ24" s="4">
        <v>0.87</v>
      </c>
      <c r="AK24" s="2">
        <f t="shared" si="232"/>
        <v>29</v>
      </c>
      <c r="AL24" s="2">
        <v>110</v>
      </c>
      <c r="AM24" s="2">
        <f t="shared" ref="AM24:AO24" si="233">_xlfn.RANK.EQ(AL24, AL$7:AL$375,0)</f>
        <v>35</v>
      </c>
      <c r="AN24" s="2">
        <v>330</v>
      </c>
      <c r="AO24" s="2">
        <f t="shared" si="233"/>
        <v>10</v>
      </c>
      <c r="AP24" s="2">
        <v>440</v>
      </c>
      <c r="AQ24" s="2">
        <f t="shared" ref="AQ24:AS24" si="234">_xlfn.RANK.EQ(AP24, AP$7:AP$375,0)</f>
        <v>16</v>
      </c>
      <c r="AR24" s="2">
        <v>150</v>
      </c>
      <c r="AS24" s="2">
        <f t="shared" si="234"/>
        <v>73</v>
      </c>
      <c r="AT24" s="2">
        <v>81</v>
      </c>
      <c r="AU24" s="2">
        <f t="shared" ref="AU24:AW24" si="235">_xlfn.RANK.EQ(AT24, AT$7:AT$375,0)</f>
        <v>78</v>
      </c>
      <c r="AV24" s="2">
        <v>33</v>
      </c>
      <c r="AW24" s="2">
        <f t="shared" si="235"/>
        <v>133</v>
      </c>
      <c r="AX24" s="2">
        <v>58</v>
      </c>
      <c r="AY24" s="2">
        <f t="shared" ref="AY24:BA24" si="236">_xlfn.RANK.EQ(AX24, AX$7:AX$375,0)</f>
        <v>7</v>
      </c>
      <c r="AZ24" s="2">
        <v>18</v>
      </c>
      <c r="BA24" s="2">
        <f t="shared" si="236"/>
        <v>61</v>
      </c>
      <c r="BB24" s="2">
        <v>88</v>
      </c>
      <c r="BC24" s="2">
        <f t="shared" ref="BC24:BE24" si="237">_xlfn.RANK.EQ(BB24, BB$7:BB$375,0)</f>
        <v>168</v>
      </c>
      <c r="BD24" s="2">
        <v>223</v>
      </c>
      <c r="BE24" s="2">
        <f t="shared" si="237"/>
        <v>27</v>
      </c>
      <c r="BF24" s="2">
        <v>1287</v>
      </c>
      <c r="BG24" s="2">
        <f t="shared" ref="BG24:BI24" si="238">_xlfn.RANK.EQ(BF24, BF$7:BF$375,0)</f>
        <v>12</v>
      </c>
      <c r="BH24" s="2">
        <v>-39</v>
      </c>
      <c r="BI24" s="2">
        <f t="shared" si="238"/>
        <v>218</v>
      </c>
      <c r="BM24" t="str">
        <v>佐賀</v>
      </c>
    </row>
    <row r="25" spans="1:65" x14ac:dyDescent="0.55000000000000004">
      <c r="A25" s="2">
        <v>19</v>
      </c>
      <c r="B25" s="2" t="s">
        <v>63</v>
      </c>
      <c r="C25" s="2" t="s">
        <v>64</v>
      </c>
      <c r="D25" s="2">
        <v>57</v>
      </c>
      <c r="E25" s="2">
        <f t="shared" si="0"/>
        <v>100</v>
      </c>
      <c r="F25" s="2">
        <v>51</v>
      </c>
      <c r="G25" s="2">
        <f t="shared" ref="G25:I25" si="239">_xlfn.RANK.EQ(F25, F$7:F$375,0)</f>
        <v>46</v>
      </c>
      <c r="H25" s="3">
        <v>64.886111111111106</v>
      </c>
      <c r="I25" s="2">
        <f t="shared" si="239"/>
        <v>36</v>
      </c>
      <c r="J25" s="3">
        <v>1.1381944444444445</v>
      </c>
      <c r="K25" s="2">
        <f t="shared" ref="K25:M25" si="240">_xlfn.RANK.EQ(J25, J$7:J$375,0)</f>
        <v>44</v>
      </c>
      <c r="L25" s="2">
        <v>938</v>
      </c>
      <c r="M25" s="2">
        <f t="shared" si="240"/>
        <v>19</v>
      </c>
      <c r="N25" s="2">
        <v>335</v>
      </c>
      <c r="O25" s="2">
        <f t="shared" ref="O25:Q25" si="241">_xlfn.RANK.EQ(N25, N$7:N$375,0)</f>
        <v>21</v>
      </c>
      <c r="P25" s="2">
        <v>695</v>
      </c>
      <c r="Q25" s="2">
        <f t="shared" si="241"/>
        <v>17</v>
      </c>
      <c r="R25" s="4">
        <v>0.48199999999999998</v>
      </c>
      <c r="S25" s="2">
        <f t="shared" ref="S25:U25" si="242">_xlfn.RANK.EQ(R25, R$7:R$375,0)</f>
        <v>86</v>
      </c>
      <c r="T25" s="2">
        <v>190</v>
      </c>
      <c r="U25" s="2">
        <f t="shared" si="242"/>
        <v>53</v>
      </c>
      <c r="V25" s="2">
        <v>320</v>
      </c>
      <c r="W25" s="2">
        <f t="shared" ref="W25:Y25" si="243">_xlfn.RANK.EQ(V25, V$7:V$375,0)</f>
        <v>58</v>
      </c>
      <c r="X25" s="4">
        <v>0.59399999999999997</v>
      </c>
      <c r="Y25" s="2">
        <f t="shared" si="243"/>
        <v>57</v>
      </c>
      <c r="Z25" s="2">
        <v>145</v>
      </c>
      <c r="AA25" s="2">
        <f t="shared" ref="AA25:AC25" si="244">_xlfn.RANK.EQ(Z25, Z$7:Z$375,0)</f>
        <v>7</v>
      </c>
      <c r="AB25" s="2">
        <v>375</v>
      </c>
      <c r="AC25" s="2">
        <f t="shared" si="244"/>
        <v>9</v>
      </c>
      <c r="AD25" s="4">
        <v>0.38700000000000001</v>
      </c>
      <c r="AE25" s="2">
        <f t="shared" ref="AE25:AG25" si="245">_xlfn.RANK.EQ(AD25, AD$7:AD$375,0)</f>
        <v>54</v>
      </c>
      <c r="AF25" s="2">
        <v>123</v>
      </c>
      <c r="AG25" s="2">
        <f t="shared" si="245"/>
        <v>53</v>
      </c>
      <c r="AH25" s="2">
        <v>160</v>
      </c>
      <c r="AI25" s="2">
        <f t="shared" ref="AI25:AK25" si="246">_xlfn.RANK.EQ(AH25, AH$7:AH$375,0)</f>
        <v>58</v>
      </c>
      <c r="AJ25" s="4">
        <v>0.76900000000000002</v>
      </c>
      <c r="AK25" s="2">
        <f t="shared" si="246"/>
        <v>124</v>
      </c>
      <c r="AL25" s="2">
        <v>87</v>
      </c>
      <c r="AM25" s="2">
        <f t="shared" ref="AM25:AO25" si="247">_xlfn.RANK.EQ(AL25, AL$7:AL$375,0)</f>
        <v>46</v>
      </c>
      <c r="AN25" s="2">
        <v>254</v>
      </c>
      <c r="AO25" s="2">
        <f t="shared" si="247"/>
        <v>40</v>
      </c>
      <c r="AP25" s="2">
        <v>341</v>
      </c>
      <c r="AQ25" s="2">
        <f t="shared" ref="AQ25:AS25" si="248">_xlfn.RANK.EQ(AP25, AP$7:AP$375,0)</f>
        <v>44</v>
      </c>
      <c r="AR25" s="2">
        <v>210</v>
      </c>
      <c r="AS25" s="2">
        <f t="shared" si="248"/>
        <v>29</v>
      </c>
      <c r="AT25" s="2">
        <v>110</v>
      </c>
      <c r="AU25" s="2">
        <f t="shared" ref="AU25:AW25" si="249">_xlfn.RANK.EQ(AT25, AT$7:AT$375,0)</f>
        <v>35</v>
      </c>
      <c r="AV25" s="2">
        <v>66</v>
      </c>
      <c r="AW25" s="2">
        <f t="shared" si="249"/>
        <v>25</v>
      </c>
      <c r="AX25" s="2">
        <v>57</v>
      </c>
      <c r="AY25" s="2">
        <f t="shared" ref="AY25:BA25" si="250">_xlfn.RANK.EQ(AX25, AX$7:AX$375,0)</f>
        <v>8</v>
      </c>
      <c r="AZ25" s="2">
        <v>14</v>
      </c>
      <c r="BA25" s="2">
        <f t="shared" si="250"/>
        <v>104</v>
      </c>
      <c r="BB25" s="2">
        <v>122</v>
      </c>
      <c r="BC25" s="2">
        <f t="shared" ref="BC25:BE25" si="251">_xlfn.RANK.EQ(BB25, BB$7:BB$375,0)</f>
        <v>74</v>
      </c>
      <c r="BD25" s="2">
        <v>172</v>
      </c>
      <c r="BE25" s="2">
        <f t="shared" si="251"/>
        <v>57</v>
      </c>
      <c r="BF25" s="2">
        <v>1141</v>
      </c>
      <c r="BG25" s="2">
        <f t="shared" ref="BG25:BI25" si="252">_xlfn.RANK.EQ(BF25, BF$7:BF$375,0)</f>
        <v>25</v>
      </c>
      <c r="BH25" s="2">
        <v>415</v>
      </c>
      <c r="BI25" s="2">
        <f t="shared" si="252"/>
        <v>9</v>
      </c>
      <c r="BM25" t="str">
        <v>茨城</v>
      </c>
    </row>
    <row r="26" spans="1:65" x14ac:dyDescent="0.55000000000000004">
      <c r="A26" s="2">
        <v>20</v>
      </c>
      <c r="B26" s="2" t="s">
        <v>65</v>
      </c>
      <c r="C26" s="2" t="s">
        <v>50</v>
      </c>
      <c r="D26" s="2">
        <v>59</v>
      </c>
      <c r="E26" s="2">
        <f t="shared" si="0"/>
        <v>58</v>
      </c>
      <c r="F26" s="2">
        <v>28</v>
      </c>
      <c r="G26" s="2">
        <f t="shared" ref="G26:I26" si="253">_xlfn.RANK.EQ(F26, F$7:F$375,0)</f>
        <v>125</v>
      </c>
      <c r="H26" s="3">
        <v>65.231944444444451</v>
      </c>
      <c r="I26" s="2">
        <f t="shared" si="253"/>
        <v>34</v>
      </c>
      <c r="J26" s="3">
        <v>1.1055555555555556</v>
      </c>
      <c r="K26" s="2">
        <f t="shared" ref="K26:M26" si="254">_xlfn.RANK.EQ(J26, J$7:J$375,0)</f>
        <v>55</v>
      </c>
      <c r="L26" s="2">
        <v>934</v>
      </c>
      <c r="M26" s="2">
        <f t="shared" si="254"/>
        <v>20</v>
      </c>
      <c r="N26" s="2">
        <v>336</v>
      </c>
      <c r="O26" s="2">
        <f t="shared" ref="O26:Q26" si="255">_xlfn.RANK.EQ(N26, N$7:N$375,0)</f>
        <v>20</v>
      </c>
      <c r="P26" s="2">
        <v>712</v>
      </c>
      <c r="Q26" s="2">
        <f t="shared" si="255"/>
        <v>15</v>
      </c>
      <c r="R26" s="4">
        <v>0.47199999999999998</v>
      </c>
      <c r="S26" s="2">
        <f t="shared" ref="S26:U26" si="256">_xlfn.RANK.EQ(R26, R$7:R$375,0)</f>
        <v>89</v>
      </c>
      <c r="T26" s="2">
        <v>198</v>
      </c>
      <c r="U26" s="2">
        <f t="shared" si="256"/>
        <v>51</v>
      </c>
      <c r="V26" s="2">
        <v>367</v>
      </c>
      <c r="W26" s="2">
        <f t="shared" ref="W26:Y26" si="257">_xlfn.RANK.EQ(V26, V$7:V$375,0)</f>
        <v>44</v>
      </c>
      <c r="X26" s="4">
        <v>0.54</v>
      </c>
      <c r="Y26" s="2">
        <f t="shared" si="257"/>
        <v>123</v>
      </c>
      <c r="Z26" s="2">
        <v>138</v>
      </c>
      <c r="AA26" s="2">
        <f t="shared" ref="AA26:AC26" si="258">_xlfn.RANK.EQ(Z26, Z$7:Z$375,0)</f>
        <v>10</v>
      </c>
      <c r="AB26" s="2">
        <v>345</v>
      </c>
      <c r="AC26" s="2">
        <f t="shared" si="258"/>
        <v>15</v>
      </c>
      <c r="AD26" s="4">
        <v>0.4</v>
      </c>
      <c r="AE26" s="2">
        <f t="shared" ref="AE26:AG26" si="259">_xlfn.RANK.EQ(AD26, AD$7:AD$375,0)</f>
        <v>38</v>
      </c>
      <c r="AF26" s="2">
        <v>124</v>
      </c>
      <c r="AG26" s="2">
        <f t="shared" si="259"/>
        <v>52</v>
      </c>
      <c r="AH26" s="2">
        <v>202</v>
      </c>
      <c r="AI26" s="2">
        <f t="shared" ref="AI26:AK26" si="260">_xlfn.RANK.EQ(AH26, AH$7:AH$375,0)</f>
        <v>32</v>
      </c>
      <c r="AJ26" s="4">
        <v>0.61399999999999999</v>
      </c>
      <c r="AK26" s="2">
        <f t="shared" si="260"/>
        <v>266</v>
      </c>
      <c r="AL26" s="2">
        <v>27</v>
      </c>
      <c r="AM26" s="2">
        <f t="shared" ref="AM26:AO26" si="261">_xlfn.RANK.EQ(AL26, AL$7:AL$375,0)</f>
        <v>162</v>
      </c>
      <c r="AN26" s="2">
        <v>150</v>
      </c>
      <c r="AO26" s="2">
        <f t="shared" si="261"/>
        <v>83</v>
      </c>
      <c r="AP26" s="2">
        <v>177</v>
      </c>
      <c r="AQ26" s="2">
        <f t="shared" ref="AQ26:AS26" si="262">_xlfn.RANK.EQ(AP26, AP$7:AP$375,0)</f>
        <v>88</v>
      </c>
      <c r="AR26" s="2">
        <v>191</v>
      </c>
      <c r="AS26" s="2">
        <f t="shared" si="262"/>
        <v>43</v>
      </c>
      <c r="AT26" s="2">
        <v>125</v>
      </c>
      <c r="AU26" s="2">
        <f t="shared" ref="AU26:AW26" si="263">_xlfn.RANK.EQ(AT26, AT$7:AT$375,0)</f>
        <v>18</v>
      </c>
      <c r="AV26" s="2">
        <v>33</v>
      </c>
      <c r="AW26" s="2">
        <f t="shared" si="263"/>
        <v>133</v>
      </c>
      <c r="AX26" s="2">
        <v>11</v>
      </c>
      <c r="AY26" s="2">
        <f t="shared" ref="AY26:BA26" si="264">_xlfn.RANK.EQ(AX26, AX$7:AX$375,0)</f>
        <v>97</v>
      </c>
      <c r="AZ26" s="2">
        <v>27</v>
      </c>
      <c r="BA26" s="2">
        <f t="shared" si="264"/>
        <v>21</v>
      </c>
      <c r="BB26" s="2">
        <v>116</v>
      </c>
      <c r="BC26" s="2">
        <f t="shared" ref="BC26:BE26" si="265">_xlfn.RANK.EQ(BB26, BB$7:BB$375,0)</f>
        <v>93</v>
      </c>
      <c r="BD26" s="2">
        <v>190</v>
      </c>
      <c r="BE26" s="2">
        <f t="shared" si="265"/>
        <v>47</v>
      </c>
      <c r="BF26" s="2">
        <v>811</v>
      </c>
      <c r="BG26" s="2">
        <f t="shared" ref="BG26:BI26" si="266">_xlfn.RANK.EQ(BF26, BF$7:BF$375,0)</f>
        <v>62</v>
      </c>
      <c r="BH26" s="2">
        <v>238</v>
      </c>
      <c r="BI26" s="2">
        <f t="shared" si="266"/>
        <v>38</v>
      </c>
      <c r="BM26" t="str">
        <v>秋田</v>
      </c>
    </row>
    <row r="27" spans="1:65" x14ac:dyDescent="0.55000000000000004">
      <c r="A27" s="2">
        <v>21</v>
      </c>
      <c r="B27" s="2" t="s">
        <v>66</v>
      </c>
      <c r="C27" s="2" t="s">
        <v>67</v>
      </c>
      <c r="D27" s="2">
        <v>58</v>
      </c>
      <c r="E27" s="2">
        <f t="shared" si="0"/>
        <v>78</v>
      </c>
      <c r="F27" s="2">
        <v>58</v>
      </c>
      <c r="G27" s="2">
        <f t="shared" ref="G27:I27" si="267">_xlfn.RANK.EQ(F27, F$7:F$375,0)</f>
        <v>20</v>
      </c>
      <c r="H27" s="3">
        <v>62.875</v>
      </c>
      <c r="I27" s="2">
        <f t="shared" si="267"/>
        <v>44</v>
      </c>
      <c r="J27" s="3">
        <v>1.0840277777777778</v>
      </c>
      <c r="K27" s="2">
        <f t="shared" ref="K27:M27" si="268">_xlfn.RANK.EQ(J27, J$7:J$375,0)</f>
        <v>64</v>
      </c>
      <c r="L27" s="2">
        <v>930</v>
      </c>
      <c r="M27" s="2">
        <f t="shared" si="268"/>
        <v>21</v>
      </c>
      <c r="N27" s="2">
        <v>321</v>
      </c>
      <c r="O27" s="2">
        <f t="shared" ref="O27:Q27" si="269">_xlfn.RANK.EQ(N27, N$7:N$375,0)</f>
        <v>29</v>
      </c>
      <c r="P27" s="2">
        <v>531</v>
      </c>
      <c r="Q27" s="2">
        <f t="shared" si="269"/>
        <v>59</v>
      </c>
      <c r="R27" s="4">
        <v>0.60499999999999998</v>
      </c>
      <c r="S27" s="2">
        <f t="shared" ref="S27:U27" si="270">_xlfn.RANK.EQ(R27, R$7:R$375,0)</f>
        <v>16</v>
      </c>
      <c r="T27" s="2">
        <v>276</v>
      </c>
      <c r="U27" s="2">
        <f t="shared" si="270"/>
        <v>19</v>
      </c>
      <c r="V27" s="2">
        <v>437</v>
      </c>
      <c r="W27" s="2">
        <f t="shared" ref="W27:Y27" si="271">_xlfn.RANK.EQ(V27, V$7:V$375,0)</f>
        <v>23</v>
      </c>
      <c r="X27" s="4">
        <v>0.63200000000000001</v>
      </c>
      <c r="Y27" s="2">
        <f t="shared" si="271"/>
        <v>32</v>
      </c>
      <c r="Z27" s="2">
        <v>45</v>
      </c>
      <c r="AA27" s="2">
        <f t="shared" ref="AA27:AC27" si="272">_xlfn.RANK.EQ(Z27, Z$7:Z$375,0)</f>
        <v>133</v>
      </c>
      <c r="AB27" s="2">
        <v>94</v>
      </c>
      <c r="AC27" s="2">
        <f t="shared" si="272"/>
        <v>177</v>
      </c>
      <c r="AD27" s="4">
        <v>0.47899999999999998</v>
      </c>
      <c r="AE27" s="2">
        <f t="shared" ref="AE27:AG27" si="273">_xlfn.RANK.EQ(AD27, AD$7:AD$375,0)</f>
        <v>12</v>
      </c>
      <c r="AF27" s="2">
        <v>243</v>
      </c>
      <c r="AG27" s="2">
        <f t="shared" si="273"/>
        <v>7</v>
      </c>
      <c r="AH27" s="2">
        <v>282</v>
      </c>
      <c r="AI27" s="2">
        <f t="shared" ref="AI27:AK27" si="274">_xlfn.RANK.EQ(AH27, AH$7:AH$375,0)</f>
        <v>11</v>
      </c>
      <c r="AJ27" s="4">
        <v>0.86199999999999999</v>
      </c>
      <c r="AK27" s="2">
        <f t="shared" si="274"/>
        <v>33</v>
      </c>
      <c r="AL27" s="2">
        <v>144</v>
      </c>
      <c r="AM27" s="2">
        <f t="shared" ref="AM27:AO27" si="275">_xlfn.RANK.EQ(AL27, AL$7:AL$375,0)</f>
        <v>17</v>
      </c>
      <c r="AN27" s="2">
        <v>275</v>
      </c>
      <c r="AO27" s="2">
        <f t="shared" si="275"/>
        <v>29</v>
      </c>
      <c r="AP27" s="2">
        <v>419</v>
      </c>
      <c r="AQ27" s="2">
        <f t="shared" ref="AQ27:AS27" si="276">_xlfn.RANK.EQ(AP27, AP$7:AP$375,0)</f>
        <v>20</v>
      </c>
      <c r="AR27" s="2">
        <v>244</v>
      </c>
      <c r="AS27" s="2">
        <f t="shared" si="276"/>
        <v>18</v>
      </c>
      <c r="AT27" s="2">
        <v>88</v>
      </c>
      <c r="AU27" s="2">
        <f t="shared" ref="AU27:AW27" si="277">_xlfn.RANK.EQ(AT27, AT$7:AT$375,0)</f>
        <v>64</v>
      </c>
      <c r="AV27" s="2">
        <v>61</v>
      </c>
      <c r="AW27" s="2">
        <f t="shared" si="277"/>
        <v>31</v>
      </c>
      <c r="AX27" s="2">
        <v>33</v>
      </c>
      <c r="AY27" s="2">
        <f t="shared" ref="AY27:BA27" si="278">_xlfn.RANK.EQ(AX27, AX$7:AX$375,0)</f>
        <v>35</v>
      </c>
      <c r="AZ27" s="2">
        <v>17</v>
      </c>
      <c r="BA27" s="2">
        <f t="shared" si="278"/>
        <v>66</v>
      </c>
      <c r="BB27" s="2">
        <v>153</v>
      </c>
      <c r="BC27" s="2">
        <f t="shared" ref="BC27:BE27" si="279">_xlfn.RANK.EQ(BB27, BB$7:BB$375,0)</f>
        <v>15</v>
      </c>
      <c r="BD27" s="2">
        <v>348</v>
      </c>
      <c r="BE27" s="2">
        <f t="shared" si="279"/>
        <v>3</v>
      </c>
      <c r="BF27" s="2">
        <v>1527</v>
      </c>
      <c r="BG27" s="2">
        <f t="shared" ref="BG27:BI27" si="280">_xlfn.RANK.EQ(BF27, BF$7:BF$375,0)</f>
        <v>4</v>
      </c>
      <c r="BH27" s="2">
        <v>571</v>
      </c>
      <c r="BI27" s="2">
        <f t="shared" si="280"/>
        <v>5</v>
      </c>
      <c r="BM27" t="str">
        <v>越谷</v>
      </c>
    </row>
    <row r="28" spans="1:65" x14ac:dyDescent="0.55000000000000004">
      <c r="A28" s="2">
        <v>22</v>
      </c>
      <c r="B28" s="2" t="s">
        <v>68</v>
      </c>
      <c r="C28" s="2" t="s">
        <v>69</v>
      </c>
      <c r="D28" s="2">
        <v>57</v>
      </c>
      <c r="E28" s="2">
        <f t="shared" si="0"/>
        <v>100</v>
      </c>
      <c r="F28" s="2">
        <v>32</v>
      </c>
      <c r="G28" s="2">
        <f t="shared" ref="G28:I28" si="281">_xlfn.RANK.EQ(F28, F$7:F$375,0)</f>
        <v>113</v>
      </c>
      <c r="H28" s="3">
        <v>67.185416666666669</v>
      </c>
      <c r="I28" s="2">
        <f t="shared" si="281"/>
        <v>27</v>
      </c>
      <c r="J28" s="3">
        <v>1.1784722222222221</v>
      </c>
      <c r="K28" s="2">
        <f t="shared" ref="K28:M28" si="282">_xlfn.RANK.EQ(J28, J$7:J$375,0)</f>
        <v>32</v>
      </c>
      <c r="L28" s="2">
        <v>926</v>
      </c>
      <c r="M28" s="2">
        <f t="shared" si="282"/>
        <v>22</v>
      </c>
      <c r="N28" s="2">
        <v>371</v>
      </c>
      <c r="O28" s="2">
        <f t="shared" ref="O28:Q28" si="283">_xlfn.RANK.EQ(N28, N$7:N$375,0)</f>
        <v>12</v>
      </c>
      <c r="P28" s="2">
        <v>748</v>
      </c>
      <c r="Q28" s="2">
        <f t="shared" si="283"/>
        <v>10</v>
      </c>
      <c r="R28" s="4">
        <v>0.496</v>
      </c>
      <c r="S28" s="2">
        <f t="shared" ref="S28:U28" si="284">_xlfn.RANK.EQ(R28, R$7:R$375,0)</f>
        <v>71</v>
      </c>
      <c r="T28" s="2">
        <v>331</v>
      </c>
      <c r="U28" s="2">
        <f t="shared" si="284"/>
        <v>6</v>
      </c>
      <c r="V28" s="2">
        <v>621</v>
      </c>
      <c r="W28" s="2">
        <f t="shared" ref="W28:Y28" si="285">_xlfn.RANK.EQ(V28, V$7:V$375,0)</f>
        <v>3</v>
      </c>
      <c r="X28" s="4">
        <v>0.53300000000000003</v>
      </c>
      <c r="Y28" s="2">
        <f t="shared" si="285"/>
        <v>134</v>
      </c>
      <c r="Z28" s="2">
        <v>40</v>
      </c>
      <c r="AA28" s="2">
        <f t="shared" ref="AA28:AC28" si="286">_xlfn.RANK.EQ(Z28, Z$7:Z$375,0)</f>
        <v>145</v>
      </c>
      <c r="AB28" s="2">
        <v>127</v>
      </c>
      <c r="AC28" s="2">
        <f t="shared" si="286"/>
        <v>144</v>
      </c>
      <c r="AD28" s="4">
        <v>0.315</v>
      </c>
      <c r="AE28" s="2">
        <f t="shared" ref="AE28:AG28" si="287">_xlfn.RANK.EQ(AD28, AD$7:AD$375,0)</f>
        <v>190</v>
      </c>
      <c r="AF28" s="2">
        <v>144</v>
      </c>
      <c r="AG28" s="2">
        <f t="shared" si="287"/>
        <v>35</v>
      </c>
      <c r="AH28" s="2">
        <v>191</v>
      </c>
      <c r="AI28" s="2">
        <f t="shared" ref="AI28:AK28" si="288">_xlfn.RANK.EQ(AH28, AH$7:AH$375,0)</f>
        <v>35</v>
      </c>
      <c r="AJ28" s="4">
        <v>0.754</v>
      </c>
      <c r="AK28" s="2">
        <f t="shared" si="288"/>
        <v>144</v>
      </c>
      <c r="AL28" s="2">
        <v>58</v>
      </c>
      <c r="AM28" s="2">
        <f t="shared" ref="AM28:AO28" si="289">_xlfn.RANK.EQ(AL28, AL$7:AL$375,0)</f>
        <v>77</v>
      </c>
      <c r="AN28" s="2">
        <v>406</v>
      </c>
      <c r="AO28" s="2">
        <f t="shared" si="289"/>
        <v>1</v>
      </c>
      <c r="AP28" s="2">
        <v>464</v>
      </c>
      <c r="AQ28" s="2">
        <f t="shared" ref="AQ28:AS28" si="290">_xlfn.RANK.EQ(AP28, AP$7:AP$375,0)</f>
        <v>11</v>
      </c>
      <c r="AR28" s="2">
        <v>269</v>
      </c>
      <c r="AS28" s="2">
        <f t="shared" si="290"/>
        <v>13</v>
      </c>
      <c r="AT28" s="2">
        <v>150</v>
      </c>
      <c r="AU28" s="2">
        <f t="shared" ref="AU28:AW28" si="291">_xlfn.RANK.EQ(AT28, AT$7:AT$375,0)</f>
        <v>4</v>
      </c>
      <c r="AV28" s="2">
        <v>79</v>
      </c>
      <c r="AW28" s="2">
        <f t="shared" si="291"/>
        <v>14</v>
      </c>
      <c r="AX28" s="2">
        <v>26</v>
      </c>
      <c r="AY28" s="2">
        <f t="shared" ref="AY28:BA28" si="292">_xlfn.RANK.EQ(AX28, AX$7:AX$375,0)</f>
        <v>48</v>
      </c>
      <c r="AZ28" s="2">
        <v>11</v>
      </c>
      <c r="BA28" s="2">
        <f t="shared" si="292"/>
        <v>132</v>
      </c>
      <c r="BB28" s="2">
        <v>156</v>
      </c>
      <c r="BC28" s="2">
        <f t="shared" ref="BC28:BE28" si="293">_xlfn.RANK.EQ(BB28, BB$7:BB$375,0)</f>
        <v>11</v>
      </c>
      <c r="BD28" s="2">
        <v>224</v>
      </c>
      <c r="BE28" s="2">
        <f t="shared" si="293"/>
        <v>25</v>
      </c>
      <c r="BF28" s="2">
        <v>1242</v>
      </c>
      <c r="BG28" s="2">
        <f t="shared" ref="BG28:BI28" si="294">_xlfn.RANK.EQ(BF28, BF$7:BF$375,0)</f>
        <v>19</v>
      </c>
      <c r="BH28" s="2">
        <v>-61</v>
      </c>
      <c r="BI28" s="2">
        <f t="shared" si="294"/>
        <v>249</v>
      </c>
      <c r="BM28" t="str">
        <v>川崎</v>
      </c>
    </row>
    <row r="29" spans="1:65" x14ac:dyDescent="0.55000000000000004">
      <c r="A29" s="2">
        <v>23</v>
      </c>
      <c r="B29" s="2" t="s">
        <v>70</v>
      </c>
      <c r="C29" s="2" t="s">
        <v>54</v>
      </c>
      <c r="D29" s="2">
        <v>59</v>
      </c>
      <c r="E29" s="2">
        <f t="shared" si="0"/>
        <v>58</v>
      </c>
      <c r="F29" s="2">
        <v>59</v>
      </c>
      <c r="G29" s="2">
        <f t="shared" ref="G29:I29" si="295">_xlfn.RANK.EQ(F29, F$7:F$375,0)</f>
        <v>14</v>
      </c>
      <c r="H29" s="3">
        <v>67.705555555555549</v>
      </c>
      <c r="I29" s="2">
        <f t="shared" si="295"/>
        <v>25</v>
      </c>
      <c r="J29" s="3">
        <v>1.1472222222222221</v>
      </c>
      <c r="K29" s="2">
        <f t="shared" ref="K29:M29" si="296">_xlfn.RANK.EQ(J29, J$7:J$375,0)</f>
        <v>41</v>
      </c>
      <c r="L29" s="2">
        <v>924</v>
      </c>
      <c r="M29" s="2">
        <f t="shared" si="296"/>
        <v>23</v>
      </c>
      <c r="N29" s="2">
        <v>333</v>
      </c>
      <c r="O29" s="2">
        <f t="shared" ref="O29:Q29" si="297">_xlfn.RANK.EQ(N29, N$7:N$375,0)</f>
        <v>24</v>
      </c>
      <c r="P29" s="2">
        <v>621</v>
      </c>
      <c r="Q29" s="2">
        <f t="shared" si="297"/>
        <v>32</v>
      </c>
      <c r="R29" s="4">
        <v>0.53600000000000003</v>
      </c>
      <c r="S29" s="2">
        <f t="shared" ref="S29:U29" si="298">_xlfn.RANK.EQ(R29, R$7:R$375,0)</f>
        <v>44</v>
      </c>
      <c r="T29" s="2">
        <v>200</v>
      </c>
      <c r="U29" s="2">
        <f t="shared" si="298"/>
        <v>50</v>
      </c>
      <c r="V29" s="2">
        <v>291</v>
      </c>
      <c r="W29" s="2">
        <f t="shared" ref="W29:Y29" si="299">_xlfn.RANK.EQ(V29, V$7:V$375,0)</f>
        <v>66</v>
      </c>
      <c r="X29" s="4">
        <v>0.68700000000000006</v>
      </c>
      <c r="Y29" s="2">
        <f t="shared" si="299"/>
        <v>9</v>
      </c>
      <c r="Z29" s="2">
        <v>133</v>
      </c>
      <c r="AA29" s="2">
        <f t="shared" ref="AA29:AC29" si="300">_xlfn.RANK.EQ(Z29, Z$7:Z$375,0)</f>
        <v>13</v>
      </c>
      <c r="AB29" s="2">
        <v>330</v>
      </c>
      <c r="AC29" s="2">
        <f t="shared" si="300"/>
        <v>20</v>
      </c>
      <c r="AD29" s="4">
        <v>0.40300000000000002</v>
      </c>
      <c r="AE29" s="2">
        <f t="shared" ref="AE29:AG29" si="301">_xlfn.RANK.EQ(AD29, AD$7:AD$375,0)</f>
        <v>34</v>
      </c>
      <c r="AF29" s="2">
        <v>125</v>
      </c>
      <c r="AG29" s="2">
        <f t="shared" si="301"/>
        <v>49</v>
      </c>
      <c r="AH29" s="2">
        <v>171</v>
      </c>
      <c r="AI29" s="2">
        <f t="shared" ref="AI29:AK29" si="302">_xlfn.RANK.EQ(AH29, AH$7:AH$375,0)</f>
        <v>53</v>
      </c>
      <c r="AJ29" s="4">
        <v>0.73099999999999998</v>
      </c>
      <c r="AK29" s="2">
        <f t="shared" si="302"/>
        <v>173</v>
      </c>
      <c r="AL29" s="2">
        <v>70</v>
      </c>
      <c r="AM29" s="2">
        <f t="shared" ref="AM29:AO29" si="303">_xlfn.RANK.EQ(AL29, AL$7:AL$375,0)</f>
        <v>58</v>
      </c>
      <c r="AN29" s="2">
        <v>309</v>
      </c>
      <c r="AO29" s="2">
        <f t="shared" si="303"/>
        <v>15</v>
      </c>
      <c r="AP29" s="2">
        <v>379</v>
      </c>
      <c r="AQ29" s="2">
        <f t="shared" ref="AQ29:AS29" si="304">_xlfn.RANK.EQ(AP29, AP$7:AP$375,0)</f>
        <v>31</v>
      </c>
      <c r="AR29" s="2">
        <v>110</v>
      </c>
      <c r="AS29" s="2">
        <f t="shared" si="304"/>
        <v>114</v>
      </c>
      <c r="AT29" s="2">
        <v>88</v>
      </c>
      <c r="AU29" s="2">
        <f t="shared" ref="AU29:AW29" si="305">_xlfn.RANK.EQ(AT29, AT$7:AT$375,0)</f>
        <v>64</v>
      </c>
      <c r="AV29" s="2">
        <v>77</v>
      </c>
      <c r="AW29" s="2">
        <f t="shared" si="305"/>
        <v>15</v>
      </c>
      <c r="AX29" s="2">
        <v>40</v>
      </c>
      <c r="AY29" s="2">
        <f t="shared" ref="AY29:BA29" si="306">_xlfn.RANK.EQ(AX29, AX$7:AX$375,0)</f>
        <v>22</v>
      </c>
      <c r="AZ29" s="2">
        <v>10</v>
      </c>
      <c r="BA29" s="2">
        <f t="shared" si="306"/>
        <v>144</v>
      </c>
      <c r="BB29" s="2">
        <v>129</v>
      </c>
      <c r="BC29" s="2">
        <f t="shared" ref="BC29:BE29" si="307">_xlfn.RANK.EQ(BB29, BB$7:BB$375,0)</f>
        <v>59</v>
      </c>
      <c r="BD29" s="2">
        <v>203</v>
      </c>
      <c r="BE29" s="2">
        <f t="shared" si="307"/>
        <v>38</v>
      </c>
      <c r="BF29" s="2">
        <v>1170</v>
      </c>
      <c r="BG29" s="2">
        <f t="shared" ref="BG29:BI29" si="308">_xlfn.RANK.EQ(BF29, BF$7:BF$375,0)</f>
        <v>22</v>
      </c>
      <c r="BH29" s="2">
        <v>255</v>
      </c>
      <c r="BI29" s="2">
        <f t="shared" si="308"/>
        <v>35</v>
      </c>
      <c r="BM29" t="str">
        <v>琉球</v>
      </c>
    </row>
    <row r="30" spans="1:65" x14ac:dyDescent="0.55000000000000004">
      <c r="A30" s="2">
        <v>24</v>
      </c>
      <c r="B30" s="2" t="s">
        <v>71</v>
      </c>
      <c r="C30" s="2" t="s">
        <v>72</v>
      </c>
      <c r="D30" s="2">
        <v>51</v>
      </c>
      <c r="E30" s="2">
        <f t="shared" si="0"/>
        <v>183</v>
      </c>
      <c r="F30" s="2">
        <v>41</v>
      </c>
      <c r="G30" s="2">
        <f t="shared" ref="G30:I30" si="309">_xlfn.RANK.EQ(F30, F$7:F$375,0)</f>
        <v>80</v>
      </c>
      <c r="H30" s="3">
        <v>56.306249999999999</v>
      </c>
      <c r="I30" s="2">
        <f t="shared" si="309"/>
        <v>77</v>
      </c>
      <c r="J30" s="3">
        <v>1.1034722222222222</v>
      </c>
      <c r="K30" s="2">
        <f t="shared" ref="K30:M30" si="310">_xlfn.RANK.EQ(J30, J$7:J$375,0)</f>
        <v>56</v>
      </c>
      <c r="L30" s="2">
        <v>918</v>
      </c>
      <c r="M30" s="2">
        <f t="shared" si="310"/>
        <v>24</v>
      </c>
      <c r="N30" s="2">
        <v>341</v>
      </c>
      <c r="O30" s="2">
        <f t="shared" ref="O30:Q30" si="311">_xlfn.RANK.EQ(N30, N$7:N$375,0)</f>
        <v>18</v>
      </c>
      <c r="P30" s="2">
        <v>583</v>
      </c>
      <c r="Q30" s="2">
        <f t="shared" si="311"/>
        <v>42</v>
      </c>
      <c r="R30" s="4">
        <v>0.58499999999999996</v>
      </c>
      <c r="S30" s="2">
        <f t="shared" ref="S30:U30" si="312">_xlfn.RANK.EQ(R30, R$7:R$375,0)</f>
        <v>25</v>
      </c>
      <c r="T30" s="2">
        <v>276</v>
      </c>
      <c r="U30" s="2">
        <f t="shared" si="312"/>
        <v>19</v>
      </c>
      <c r="V30" s="2">
        <v>442</v>
      </c>
      <c r="W30" s="2">
        <f t="shared" ref="W30:Y30" si="313">_xlfn.RANK.EQ(V30, V$7:V$375,0)</f>
        <v>21</v>
      </c>
      <c r="X30" s="4">
        <v>0.624</v>
      </c>
      <c r="Y30" s="2">
        <f t="shared" si="313"/>
        <v>40</v>
      </c>
      <c r="Z30" s="2">
        <v>65</v>
      </c>
      <c r="AA30" s="2">
        <f t="shared" ref="AA30:AC30" si="314">_xlfn.RANK.EQ(Z30, Z$7:Z$375,0)</f>
        <v>84</v>
      </c>
      <c r="AB30" s="2">
        <v>141</v>
      </c>
      <c r="AC30" s="2">
        <f t="shared" si="314"/>
        <v>130</v>
      </c>
      <c r="AD30" s="4">
        <v>0.46100000000000002</v>
      </c>
      <c r="AE30" s="2">
        <f t="shared" ref="AE30:AG30" si="315">_xlfn.RANK.EQ(AD30, AD$7:AD$375,0)</f>
        <v>16</v>
      </c>
      <c r="AF30" s="2">
        <v>171</v>
      </c>
      <c r="AG30" s="2">
        <f t="shared" si="315"/>
        <v>24</v>
      </c>
      <c r="AH30" s="2">
        <v>217</v>
      </c>
      <c r="AI30" s="2">
        <f t="shared" ref="AI30:AK30" si="316">_xlfn.RANK.EQ(AH30, AH$7:AH$375,0)</f>
        <v>27</v>
      </c>
      <c r="AJ30" s="4">
        <v>0.78800000000000003</v>
      </c>
      <c r="AK30" s="2">
        <f t="shared" si="316"/>
        <v>103</v>
      </c>
      <c r="AL30" s="2">
        <v>115</v>
      </c>
      <c r="AM30" s="2">
        <f t="shared" ref="AM30:AO30" si="317">_xlfn.RANK.EQ(AL30, AL$7:AL$375,0)</f>
        <v>34</v>
      </c>
      <c r="AN30" s="2">
        <v>327</v>
      </c>
      <c r="AO30" s="2">
        <f t="shared" si="317"/>
        <v>11</v>
      </c>
      <c r="AP30" s="2">
        <v>442</v>
      </c>
      <c r="AQ30" s="2">
        <f t="shared" ref="AQ30:AS30" si="318">_xlfn.RANK.EQ(AP30, AP$7:AP$375,0)</f>
        <v>15</v>
      </c>
      <c r="AR30" s="2">
        <v>80</v>
      </c>
      <c r="AS30" s="2">
        <f t="shared" si="318"/>
        <v>165</v>
      </c>
      <c r="AT30" s="2">
        <v>98</v>
      </c>
      <c r="AU30" s="2">
        <f t="shared" ref="AU30:AW30" si="319">_xlfn.RANK.EQ(AT30, AT$7:AT$375,0)</f>
        <v>50</v>
      </c>
      <c r="AV30" s="2">
        <v>32</v>
      </c>
      <c r="AW30" s="2">
        <f t="shared" si="319"/>
        <v>137</v>
      </c>
      <c r="AX30" s="2">
        <v>20</v>
      </c>
      <c r="AY30" s="2">
        <f t="shared" ref="AY30:BA30" si="320">_xlfn.RANK.EQ(AX30, AX$7:AX$375,0)</f>
        <v>65</v>
      </c>
      <c r="AZ30" s="2">
        <v>33</v>
      </c>
      <c r="BA30" s="2">
        <f t="shared" si="320"/>
        <v>12</v>
      </c>
      <c r="BB30" s="2">
        <v>149</v>
      </c>
      <c r="BC30" s="2">
        <f t="shared" ref="BC30:BE30" si="321">_xlfn.RANK.EQ(BB30, BB$7:BB$375,0)</f>
        <v>19</v>
      </c>
      <c r="BD30" s="2">
        <v>206</v>
      </c>
      <c r="BE30" s="2">
        <f t="shared" si="321"/>
        <v>35</v>
      </c>
      <c r="BF30" s="2">
        <v>1126</v>
      </c>
      <c r="BG30" s="2">
        <f t="shared" ref="BG30:BI30" si="322">_xlfn.RANK.EQ(BF30, BF$7:BF$375,0)</f>
        <v>28</v>
      </c>
      <c r="BH30" s="2">
        <v>-74</v>
      </c>
      <c r="BI30" s="2">
        <f t="shared" si="322"/>
        <v>265</v>
      </c>
      <c r="BM30" t="str">
        <v>FE名古屋</v>
      </c>
    </row>
    <row r="31" spans="1:65" x14ac:dyDescent="0.55000000000000004">
      <c r="A31" s="2">
        <v>25</v>
      </c>
      <c r="B31" s="2" t="s">
        <v>73</v>
      </c>
      <c r="C31" s="2" t="s">
        <v>74</v>
      </c>
      <c r="D31" s="2">
        <v>53</v>
      </c>
      <c r="E31" s="2">
        <f t="shared" si="0"/>
        <v>166</v>
      </c>
      <c r="F31" s="2">
        <v>50</v>
      </c>
      <c r="G31" s="2">
        <f t="shared" ref="G31:I31" si="323">_xlfn.RANK.EQ(F31, F$7:F$375,0)</f>
        <v>54</v>
      </c>
      <c r="H31" s="3">
        <v>70.163888888888891</v>
      </c>
      <c r="I31" s="2">
        <f t="shared" si="323"/>
        <v>18</v>
      </c>
      <c r="J31" s="3">
        <v>1.3236111111111111</v>
      </c>
      <c r="K31" s="2">
        <f t="shared" ref="K31:M31" si="324">_xlfn.RANK.EQ(J31, J$7:J$375,0)</f>
        <v>3</v>
      </c>
      <c r="L31" s="2">
        <v>908</v>
      </c>
      <c r="M31" s="2">
        <f t="shared" si="324"/>
        <v>25</v>
      </c>
      <c r="N31" s="2">
        <v>319</v>
      </c>
      <c r="O31" s="2">
        <f t="shared" ref="O31:Q31" si="325">_xlfn.RANK.EQ(N31, N$7:N$375,0)</f>
        <v>32</v>
      </c>
      <c r="P31" s="2">
        <v>648</v>
      </c>
      <c r="Q31" s="2">
        <f t="shared" si="325"/>
        <v>25</v>
      </c>
      <c r="R31" s="4">
        <v>0.49199999999999999</v>
      </c>
      <c r="S31" s="2">
        <f t="shared" ref="S31:U31" si="326">_xlfn.RANK.EQ(R31, R$7:R$375,0)</f>
        <v>75</v>
      </c>
      <c r="T31" s="2">
        <v>207</v>
      </c>
      <c r="U31" s="2">
        <f t="shared" si="326"/>
        <v>44</v>
      </c>
      <c r="V31" s="2">
        <v>370</v>
      </c>
      <c r="W31" s="2">
        <f t="shared" ref="W31:Y31" si="327">_xlfn.RANK.EQ(V31, V$7:V$375,0)</f>
        <v>43</v>
      </c>
      <c r="X31" s="4">
        <v>0.55900000000000005</v>
      </c>
      <c r="Y31" s="2">
        <f t="shared" si="327"/>
        <v>97</v>
      </c>
      <c r="Z31" s="2">
        <v>112</v>
      </c>
      <c r="AA31" s="2">
        <f t="shared" ref="AA31:AC31" si="328">_xlfn.RANK.EQ(Z31, Z$7:Z$375,0)</f>
        <v>24</v>
      </c>
      <c r="AB31" s="2">
        <v>278</v>
      </c>
      <c r="AC31" s="2">
        <f t="shared" si="328"/>
        <v>37</v>
      </c>
      <c r="AD31" s="4">
        <v>0.40300000000000002</v>
      </c>
      <c r="AE31" s="2">
        <f t="shared" ref="AE31:AG31" si="329">_xlfn.RANK.EQ(AD31, AD$7:AD$375,0)</f>
        <v>34</v>
      </c>
      <c r="AF31" s="2">
        <v>158</v>
      </c>
      <c r="AG31" s="2">
        <f t="shared" si="329"/>
        <v>28</v>
      </c>
      <c r="AH31" s="2">
        <v>210</v>
      </c>
      <c r="AI31" s="2">
        <f t="shared" ref="AI31:AK31" si="330">_xlfn.RANK.EQ(AH31, AH$7:AH$375,0)</f>
        <v>29</v>
      </c>
      <c r="AJ31" s="4">
        <v>0.752</v>
      </c>
      <c r="AK31" s="2">
        <f t="shared" si="330"/>
        <v>146</v>
      </c>
      <c r="AL31" s="2">
        <v>66</v>
      </c>
      <c r="AM31" s="2">
        <f t="shared" ref="AM31:AO31" si="331">_xlfn.RANK.EQ(AL31, AL$7:AL$375,0)</f>
        <v>67</v>
      </c>
      <c r="AN31" s="2">
        <v>300</v>
      </c>
      <c r="AO31" s="2">
        <f t="shared" si="331"/>
        <v>20</v>
      </c>
      <c r="AP31" s="2">
        <v>366</v>
      </c>
      <c r="AQ31" s="2">
        <f t="shared" ref="AQ31:AS31" si="332">_xlfn.RANK.EQ(AP31, AP$7:AP$375,0)</f>
        <v>34</v>
      </c>
      <c r="AR31" s="2">
        <v>184</v>
      </c>
      <c r="AS31" s="2">
        <f t="shared" si="332"/>
        <v>48</v>
      </c>
      <c r="AT31" s="2">
        <v>129</v>
      </c>
      <c r="AU31" s="2">
        <f t="shared" ref="AU31:AW31" si="333">_xlfn.RANK.EQ(AT31, AT$7:AT$375,0)</f>
        <v>14</v>
      </c>
      <c r="AV31" s="2">
        <v>54</v>
      </c>
      <c r="AW31" s="2">
        <f t="shared" si="333"/>
        <v>46</v>
      </c>
      <c r="AX31" s="2">
        <v>44</v>
      </c>
      <c r="AY31" s="2">
        <f t="shared" ref="AY31:BA31" si="334">_xlfn.RANK.EQ(AX31, AX$7:AX$375,0)</f>
        <v>14</v>
      </c>
      <c r="AZ31" s="2">
        <v>20</v>
      </c>
      <c r="BA31" s="2">
        <f t="shared" si="334"/>
        <v>46</v>
      </c>
      <c r="BB31" s="2">
        <v>114</v>
      </c>
      <c r="BC31" s="2">
        <f t="shared" ref="BC31:BE31" si="335">_xlfn.RANK.EQ(BB31, BB$7:BB$375,0)</f>
        <v>97</v>
      </c>
      <c r="BD31" s="2">
        <v>218</v>
      </c>
      <c r="BE31" s="2">
        <f t="shared" si="335"/>
        <v>29</v>
      </c>
      <c r="BF31" s="2">
        <v>1128</v>
      </c>
      <c r="BG31" s="2">
        <f t="shared" ref="BG31:BI31" si="336">_xlfn.RANK.EQ(BF31, BF$7:BF$375,0)</f>
        <v>27</v>
      </c>
      <c r="BH31" s="2">
        <v>-116</v>
      </c>
      <c r="BI31" s="2">
        <f t="shared" si="336"/>
        <v>296</v>
      </c>
      <c r="BM31" t="str">
        <v>A千葉</v>
      </c>
    </row>
    <row r="32" spans="1:65" x14ac:dyDescent="0.55000000000000004">
      <c r="A32" s="2">
        <v>26</v>
      </c>
      <c r="B32" s="2" t="s">
        <v>75</v>
      </c>
      <c r="C32" s="2" t="s">
        <v>48</v>
      </c>
      <c r="D32" s="2">
        <v>58</v>
      </c>
      <c r="E32" s="2">
        <f t="shared" si="0"/>
        <v>78</v>
      </c>
      <c r="F32" s="2">
        <v>5</v>
      </c>
      <c r="G32" s="2">
        <f t="shared" ref="G32:I32" si="337">_xlfn.RANK.EQ(F32, F$7:F$375,0)</f>
        <v>238</v>
      </c>
      <c r="H32" s="3">
        <v>59.69027777777778</v>
      </c>
      <c r="I32" s="2">
        <f t="shared" si="337"/>
        <v>54</v>
      </c>
      <c r="J32" s="3">
        <v>1.0284722222222222</v>
      </c>
      <c r="K32" s="2">
        <f t="shared" ref="K32:M32" si="338">_xlfn.RANK.EQ(J32, J$7:J$375,0)</f>
        <v>85</v>
      </c>
      <c r="L32" s="2">
        <v>903</v>
      </c>
      <c r="M32" s="2">
        <f t="shared" si="338"/>
        <v>26</v>
      </c>
      <c r="N32" s="2">
        <v>265</v>
      </c>
      <c r="O32" s="2">
        <f t="shared" ref="O32:Q32" si="339">_xlfn.RANK.EQ(N32, N$7:N$375,0)</f>
        <v>50</v>
      </c>
      <c r="P32" s="2">
        <v>629</v>
      </c>
      <c r="Q32" s="2">
        <f t="shared" si="339"/>
        <v>29</v>
      </c>
      <c r="R32" s="4">
        <v>0.42099999999999999</v>
      </c>
      <c r="S32" s="2">
        <f t="shared" ref="S32:U32" si="340">_xlfn.RANK.EQ(R32, R$7:R$375,0)</f>
        <v>161</v>
      </c>
      <c r="T32" s="2">
        <v>165</v>
      </c>
      <c r="U32" s="2">
        <f t="shared" si="340"/>
        <v>65</v>
      </c>
      <c r="V32" s="2">
        <v>324</v>
      </c>
      <c r="W32" s="2">
        <f t="shared" ref="W32:Y32" si="341">_xlfn.RANK.EQ(V32, V$7:V$375,0)</f>
        <v>57</v>
      </c>
      <c r="X32" s="4">
        <v>0.50900000000000001</v>
      </c>
      <c r="Y32" s="2">
        <f t="shared" si="341"/>
        <v>169</v>
      </c>
      <c r="Z32" s="2">
        <v>100</v>
      </c>
      <c r="AA32" s="2">
        <f t="shared" ref="AA32:AC32" si="342">_xlfn.RANK.EQ(Z32, Z$7:Z$375,0)</f>
        <v>32</v>
      </c>
      <c r="AB32" s="2">
        <v>305</v>
      </c>
      <c r="AC32" s="2">
        <f t="shared" si="342"/>
        <v>28</v>
      </c>
      <c r="AD32" s="4">
        <v>0.32800000000000001</v>
      </c>
      <c r="AE32" s="2">
        <f t="shared" ref="AE32:AG32" si="343">_xlfn.RANK.EQ(AD32, AD$7:AD$375,0)</f>
        <v>164</v>
      </c>
      <c r="AF32" s="2">
        <v>273</v>
      </c>
      <c r="AG32" s="2">
        <f t="shared" si="343"/>
        <v>4</v>
      </c>
      <c r="AH32" s="2">
        <v>327</v>
      </c>
      <c r="AI32" s="2">
        <f t="shared" ref="AI32:AK32" si="344">_xlfn.RANK.EQ(AH32, AH$7:AH$375,0)</f>
        <v>7</v>
      </c>
      <c r="AJ32" s="4">
        <v>0.83499999999999996</v>
      </c>
      <c r="AK32" s="2">
        <f t="shared" si="344"/>
        <v>46</v>
      </c>
      <c r="AL32" s="2">
        <v>74</v>
      </c>
      <c r="AM32" s="2">
        <f t="shared" ref="AM32:AO32" si="345">_xlfn.RANK.EQ(AL32, AL$7:AL$375,0)</f>
        <v>54</v>
      </c>
      <c r="AN32" s="2">
        <v>223</v>
      </c>
      <c r="AO32" s="2">
        <f t="shared" si="345"/>
        <v>60</v>
      </c>
      <c r="AP32" s="2">
        <v>297</v>
      </c>
      <c r="AQ32" s="2">
        <f t="shared" ref="AQ32:AS32" si="346">_xlfn.RANK.EQ(AP32, AP$7:AP$375,0)</f>
        <v>61</v>
      </c>
      <c r="AR32" s="2">
        <v>68</v>
      </c>
      <c r="AS32" s="2">
        <f t="shared" si="346"/>
        <v>180</v>
      </c>
      <c r="AT32" s="2">
        <v>109</v>
      </c>
      <c r="AU32" s="2">
        <f t="shared" ref="AU32:AW32" si="347">_xlfn.RANK.EQ(AT32, AT$7:AT$375,0)</f>
        <v>36</v>
      </c>
      <c r="AV32" s="2">
        <v>38</v>
      </c>
      <c r="AW32" s="2">
        <f t="shared" si="347"/>
        <v>115</v>
      </c>
      <c r="AX32" s="2">
        <v>17</v>
      </c>
      <c r="AY32" s="2">
        <f t="shared" ref="AY32:BA32" si="348">_xlfn.RANK.EQ(AX32, AX$7:AX$375,0)</f>
        <v>72</v>
      </c>
      <c r="AZ32" s="2">
        <v>25</v>
      </c>
      <c r="BA32" s="2">
        <f t="shared" si="348"/>
        <v>25</v>
      </c>
      <c r="BB32" s="2">
        <v>121</v>
      </c>
      <c r="BC32" s="2">
        <f t="shared" ref="BC32:BE32" si="349">_xlfn.RANK.EQ(BB32, BB$7:BB$375,0)</f>
        <v>80</v>
      </c>
      <c r="BD32" s="2">
        <v>290</v>
      </c>
      <c r="BE32" s="2">
        <f t="shared" si="349"/>
        <v>10</v>
      </c>
      <c r="BF32" s="2">
        <v>940</v>
      </c>
      <c r="BG32" s="2">
        <f t="shared" ref="BG32:BI32" si="350">_xlfn.RANK.EQ(BF32, BF$7:BF$375,0)</f>
        <v>50</v>
      </c>
      <c r="BH32" s="2">
        <v>-306</v>
      </c>
      <c r="BI32" s="2">
        <f t="shared" si="350"/>
        <v>361</v>
      </c>
      <c r="BM32" t="str">
        <v>京都</v>
      </c>
    </row>
    <row r="33" spans="1:61" x14ac:dyDescent="0.55000000000000004">
      <c r="A33" s="2">
        <v>27</v>
      </c>
      <c r="B33" s="2" t="s">
        <v>76</v>
      </c>
      <c r="C33" s="2" t="s">
        <v>46</v>
      </c>
      <c r="D33" s="2">
        <v>56</v>
      </c>
      <c r="E33" s="2">
        <f t="shared" si="0"/>
        <v>124</v>
      </c>
      <c r="F33" s="2">
        <v>39</v>
      </c>
      <c r="G33" s="2">
        <f t="shared" ref="G33:I33" si="351">_xlfn.RANK.EQ(F33, F$7:F$375,0)</f>
        <v>86</v>
      </c>
      <c r="H33" s="3">
        <v>61.466666666666669</v>
      </c>
      <c r="I33" s="2">
        <f t="shared" si="351"/>
        <v>50</v>
      </c>
      <c r="J33" s="3">
        <v>1.0972222222222223</v>
      </c>
      <c r="K33" s="2">
        <f t="shared" ref="K33:M33" si="352">_xlfn.RANK.EQ(J33, J$7:J$375,0)</f>
        <v>61</v>
      </c>
      <c r="L33" s="2">
        <v>898</v>
      </c>
      <c r="M33" s="2">
        <f t="shared" si="352"/>
        <v>27</v>
      </c>
      <c r="N33" s="2">
        <v>334</v>
      </c>
      <c r="O33" s="2">
        <f t="shared" ref="O33:Q33" si="353">_xlfn.RANK.EQ(N33, N$7:N$375,0)</f>
        <v>22</v>
      </c>
      <c r="P33" s="2">
        <v>692</v>
      </c>
      <c r="Q33" s="2">
        <f t="shared" si="353"/>
        <v>18</v>
      </c>
      <c r="R33" s="4">
        <v>0.48299999999999998</v>
      </c>
      <c r="S33" s="2">
        <f t="shared" ref="S33:U33" si="354">_xlfn.RANK.EQ(R33, R$7:R$375,0)</f>
        <v>84</v>
      </c>
      <c r="T33" s="2">
        <v>241</v>
      </c>
      <c r="U33" s="2">
        <f t="shared" si="354"/>
        <v>31</v>
      </c>
      <c r="V33" s="2">
        <v>431</v>
      </c>
      <c r="W33" s="2">
        <f t="shared" ref="W33:Y33" si="355">_xlfn.RANK.EQ(V33, V$7:V$375,0)</f>
        <v>24</v>
      </c>
      <c r="X33" s="4">
        <v>0.55900000000000005</v>
      </c>
      <c r="Y33" s="2">
        <f t="shared" si="355"/>
        <v>97</v>
      </c>
      <c r="Z33" s="2">
        <v>93</v>
      </c>
      <c r="AA33" s="2">
        <f t="shared" ref="AA33:AC33" si="356">_xlfn.RANK.EQ(Z33, Z$7:Z$375,0)</f>
        <v>43</v>
      </c>
      <c r="AB33" s="2">
        <v>261</v>
      </c>
      <c r="AC33" s="2">
        <f t="shared" si="356"/>
        <v>42</v>
      </c>
      <c r="AD33" s="4">
        <v>0.35599999999999998</v>
      </c>
      <c r="AE33" s="2">
        <f t="shared" ref="AE33:AG33" si="357">_xlfn.RANK.EQ(AD33, AD$7:AD$375,0)</f>
        <v>103</v>
      </c>
      <c r="AF33" s="2">
        <v>137</v>
      </c>
      <c r="AG33" s="2">
        <f t="shared" si="357"/>
        <v>38</v>
      </c>
      <c r="AH33" s="2">
        <v>173</v>
      </c>
      <c r="AI33" s="2">
        <f t="shared" ref="AI33:AK33" si="358">_xlfn.RANK.EQ(AH33, AH$7:AH$375,0)</f>
        <v>51</v>
      </c>
      <c r="AJ33" s="4">
        <v>0.79200000000000004</v>
      </c>
      <c r="AK33" s="2">
        <f t="shared" si="358"/>
        <v>96</v>
      </c>
      <c r="AL33" s="2">
        <v>109</v>
      </c>
      <c r="AM33" s="2">
        <f t="shared" ref="AM33:AO33" si="359">_xlfn.RANK.EQ(AL33, AL$7:AL$375,0)</f>
        <v>36</v>
      </c>
      <c r="AN33" s="2">
        <v>257</v>
      </c>
      <c r="AO33" s="2">
        <f t="shared" si="359"/>
        <v>39</v>
      </c>
      <c r="AP33" s="2">
        <v>366</v>
      </c>
      <c r="AQ33" s="2">
        <f t="shared" ref="AQ33:AS33" si="360">_xlfn.RANK.EQ(AP33, AP$7:AP$375,0)</f>
        <v>34</v>
      </c>
      <c r="AR33" s="2">
        <v>170</v>
      </c>
      <c r="AS33" s="2">
        <f t="shared" si="360"/>
        <v>58</v>
      </c>
      <c r="AT33" s="2">
        <v>107</v>
      </c>
      <c r="AU33" s="2">
        <f t="shared" ref="AU33:AW33" si="361">_xlfn.RANK.EQ(AT33, AT$7:AT$375,0)</f>
        <v>42</v>
      </c>
      <c r="AV33" s="2">
        <v>55</v>
      </c>
      <c r="AW33" s="2">
        <f t="shared" si="361"/>
        <v>41</v>
      </c>
      <c r="AX33" s="2">
        <v>41</v>
      </c>
      <c r="AY33" s="2">
        <f t="shared" ref="AY33:BA33" si="362">_xlfn.RANK.EQ(AX33, AX$7:AX$375,0)</f>
        <v>18</v>
      </c>
      <c r="AZ33" s="2">
        <v>40</v>
      </c>
      <c r="BA33" s="2">
        <f t="shared" si="362"/>
        <v>3</v>
      </c>
      <c r="BB33" s="2">
        <v>140</v>
      </c>
      <c r="BC33" s="2">
        <f t="shared" ref="BC33:BE33" si="363">_xlfn.RANK.EQ(BB33, BB$7:BB$375,0)</f>
        <v>38</v>
      </c>
      <c r="BD33" s="2">
        <v>158</v>
      </c>
      <c r="BE33" s="2">
        <f t="shared" si="363"/>
        <v>67</v>
      </c>
      <c r="BF33" s="2">
        <v>1006</v>
      </c>
      <c r="BG33" s="2">
        <f t="shared" ref="BG33:BI33" si="364">_xlfn.RANK.EQ(BF33, BF$7:BF$375,0)</f>
        <v>41</v>
      </c>
      <c r="BH33" s="2">
        <v>-35</v>
      </c>
      <c r="BI33" s="2">
        <f t="shared" si="364"/>
        <v>214</v>
      </c>
    </row>
    <row r="34" spans="1:61" x14ac:dyDescent="0.55000000000000004">
      <c r="A34" s="2">
        <v>28</v>
      </c>
      <c r="B34" s="2" t="s">
        <v>77</v>
      </c>
      <c r="C34" s="2" t="s">
        <v>72</v>
      </c>
      <c r="D34" s="2">
        <v>60</v>
      </c>
      <c r="E34" s="2">
        <f t="shared" si="0"/>
        <v>1</v>
      </c>
      <c r="F34" s="2">
        <v>60</v>
      </c>
      <c r="G34" s="2">
        <f t="shared" ref="G34:I34" si="365">_xlfn.RANK.EQ(F34, F$7:F$375,0)</f>
        <v>1</v>
      </c>
      <c r="H34" s="3">
        <v>74.540277777777774</v>
      </c>
      <c r="I34" s="2">
        <f t="shared" si="365"/>
        <v>8</v>
      </c>
      <c r="J34" s="3">
        <v>1.2416666666666667</v>
      </c>
      <c r="K34" s="2">
        <f t="shared" ref="K34:M34" si="366">_xlfn.RANK.EQ(J34, J$7:J$375,0)</f>
        <v>15</v>
      </c>
      <c r="L34" s="2">
        <v>889</v>
      </c>
      <c r="M34" s="2">
        <f t="shared" si="366"/>
        <v>28</v>
      </c>
      <c r="N34" s="2">
        <v>330</v>
      </c>
      <c r="O34" s="2">
        <f t="shared" ref="O34:Q34" si="367">_xlfn.RANK.EQ(N34, N$7:N$375,0)</f>
        <v>25</v>
      </c>
      <c r="P34" s="2">
        <v>650</v>
      </c>
      <c r="Q34" s="2">
        <f t="shared" si="367"/>
        <v>23</v>
      </c>
      <c r="R34" s="4">
        <v>0.50800000000000001</v>
      </c>
      <c r="S34" s="2">
        <f t="shared" ref="S34:U34" si="368">_xlfn.RANK.EQ(R34, R$7:R$375,0)</f>
        <v>63</v>
      </c>
      <c r="T34" s="2">
        <v>258</v>
      </c>
      <c r="U34" s="2">
        <f t="shared" si="368"/>
        <v>25</v>
      </c>
      <c r="V34" s="2">
        <v>440</v>
      </c>
      <c r="W34" s="2">
        <f t="shared" ref="W34:Y34" si="369">_xlfn.RANK.EQ(V34, V$7:V$375,0)</f>
        <v>22</v>
      </c>
      <c r="X34" s="4">
        <v>0.58599999999999997</v>
      </c>
      <c r="Y34" s="2">
        <f t="shared" si="369"/>
        <v>68</v>
      </c>
      <c r="Z34" s="2">
        <v>72</v>
      </c>
      <c r="AA34" s="2">
        <f t="shared" ref="AA34:AC34" si="370">_xlfn.RANK.EQ(Z34, Z$7:Z$375,0)</f>
        <v>72</v>
      </c>
      <c r="AB34" s="2">
        <v>210</v>
      </c>
      <c r="AC34" s="2">
        <f t="shared" si="370"/>
        <v>71</v>
      </c>
      <c r="AD34" s="4">
        <v>0.34300000000000003</v>
      </c>
      <c r="AE34" s="2">
        <f t="shared" ref="AE34:AG34" si="371">_xlfn.RANK.EQ(AD34, AD$7:AD$375,0)</f>
        <v>128</v>
      </c>
      <c r="AF34" s="2">
        <v>157</v>
      </c>
      <c r="AG34" s="2">
        <f t="shared" si="371"/>
        <v>29</v>
      </c>
      <c r="AH34" s="2">
        <v>191</v>
      </c>
      <c r="AI34" s="2">
        <f t="shared" ref="AI34:AK34" si="372">_xlfn.RANK.EQ(AH34, AH$7:AH$375,0)</f>
        <v>35</v>
      </c>
      <c r="AJ34" s="4">
        <v>0.82199999999999995</v>
      </c>
      <c r="AK34" s="2">
        <f t="shared" si="372"/>
        <v>63</v>
      </c>
      <c r="AL34" s="2">
        <v>94</v>
      </c>
      <c r="AM34" s="2">
        <f t="shared" ref="AM34:AO34" si="373">_xlfn.RANK.EQ(AL34, AL$7:AL$375,0)</f>
        <v>43</v>
      </c>
      <c r="AN34" s="2">
        <v>235</v>
      </c>
      <c r="AO34" s="2">
        <f t="shared" si="373"/>
        <v>54</v>
      </c>
      <c r="AP34" s="2">
        <v>329</v>
      </c>
      <c r="AQ34" s="2">
        <f t="shared" ref="AQ34:AS34" si="374">_xlfn.RANK.EQ(AP34, AP$7:AP$375,0)</f>
        <v>51</v>
      </c>
      <c r="AR34" s="2">
        <v>139</v>
      </c>
      <c r="AS34" s="2">
        <f t="shared" si="374"/>
        <v>84</v>
      </c>
      <c r="AT34" s="2">
        <v>41</v>
      </c>
      <c r="AU34" s="2">
        <f t="shared" ref="AU34:AW34" si="375">_xlfn.RANK.EQ(AT34, AT$7:AT$375,0)</f>
        <v>171</v>
      </c>
      <c r="AV34" s="2">
        <v>50</v>
      </c>
      <c r="AW34" s="2">
        <f t="shared" si="375"/>
        <v>62</v>
      </c>
      <c r="AX34" s="2">
        <v>18</v>
      </c>
      <c r="AY34" s="2">
        <f t="shared" ref="AY34:BA34" si="376">_xlfn.RANK.EQ(AX34, AX$7:AX$375,0)</f>
        <v>70</v>
      </c>
      <c r="AZ34" s="2">
        <v>15</v>
      </c>
      <c r="BA34" s="2">
        <f t="shared" si="376"/>
        <v>87</v>
      </c>
      <c r="BB34" s="2">
        <v>113</v>
      </c>
      <c r="BC34" s="2">
        <f t="shared" ref="BC34:BE34" si="377">_xlfn.RANK.EQ(BB34, BB$7:BB$375,0)</f>
        <v>103</v>
      </c>
      <c r="BD34" s="2">
        <v>216</v>
      </c>
      <c r="BE34" s="2">
        <f t="shared" si="377"/>
        <v>30</v>
      </c>
      <c r="BF34" s="2">
        <v>1118</v>
      </c>
      <c r="BG34" s="2">
        <f t="shared" ref="BG34:BI34" si="378">_xlfn.RANK.EQ(BF34, BF$7:BF$375,0)</f>
        <v>29</v>
      </c>
      <c r="BH34" s="2">
        <v>76</v>
      </c>
      <c r="BI34" s="2">
        <f t="shared" si="378"/>
        <v>87</v>
      </c>
    </row>
    <row r="35" spans="1:61" x14ac:dyDescent="0.55000000000000004">
      <c r="A35" s="2">
        <v>29</v>
      </c>
      <c r="B35" s="2" t="s">
        <v>78</v>
      </c>
      <c r="C35" s="2" t="s">
        <v>79</v>
      </c>
      <c r="D35" s="2">
        <v>56</v>
      </c>
      <c r="E35" s="2">
        <f t="shared" si="0"/>
        <v>124</v>
      </c>
      <c r="F35" s="2">
        <v>56</v>
      </c>
      <c r="G35" s="2">
        <f t="shared" ref="G35:I35" si="379">_xlfn.RANK.EQ(F35, F$7:F$375,0)</f>
        <v>29</v>
      </c>
      <c r="H35" s="3">
        <v>68.781944444444449</v>
      </c>
      <c r="I35" s="2">
        <f t="shared" si="379"/>
        <v>24</v>
      </c>
      <c r="J35" s="3">
        <v>1.2277777777777779</v>
      </c>
      <c r="K35" s="2">
        <f t="shared" ref="K35:M35" si="380">_xlfn.RANK.EQ(J35, J$7:J$375,0)</f>
        <v>20</v>
      </c>
      <c r="L35" s="2">
        <v>886</v>
      </c>
      <c r="M35" s="2">
        <f t="shared" si="380"/>
        <v>29</v>
      </c>
      <c r="N35" s="2">
        <v>348</v>
      </c>
      <c r="O35" s="2">
        <f t="shared" ref="O35:Q35" si="381">_xlfn.RANK.EQ(N35, N$7:N$375,0)</f>
        <v>17</v>
      </c>
      <c r="P35" s="2">
        <v>687</v>
      </c>
      <c r="Q35" s="2">
        <f t="shared" si="381"/>
        <v>20</v>
      </c>
      <c r="R35" s="4">
        <v>0.50700000000000001</v>
      </c>
      <c r="S35" s="2">
        <f t="shared" ref="S35:U35" si="382">_xlfn.RANK.EQ(R35, R$7:R$375,0)</f>
        <v>65</v>
      </c>
      <c r="T35" s="2">
        <v>308</v>
      </c>
      <c r="U35" s="2">
        <f t="shared" si="382"/>
        <v>8</v>
      </c>
      <c r="V35" s="2">
        <v>569</v>
      </c>
      <c r="W35" s="2">
        <f t="shared" ref="W35:Y35" si="383">_xlfn.RANK.EQ(V35, V$7:V$375,0)</f>
        <v>7</v>
      </c>
      <c r="X35" s="4">
        <v>0.54100000000000004</v>
      </c>
      <c r="Y35" s="2">
        <f t="shared" si="383"/>
        <v>120</v>
      </c>
      <c r="Z35" s="2">
        <v>40</v>
      </c>
      <c r="AA35" s="2">
        <f t="shared" ref="AA35:AC35" si="384">_xlfn.RANK.EQ(Z35, Z$7:Z$375,0)</f>
        <v>145</v>
      </c>
      <c r="AB35" s="2">
        <v>118</v>
      </c>
      <c r="AC35" s="2">
        <f t="shared" si="384"/>
        <v>152</v>
      </c>
      <c r="AD35" s="4">
        <v>0.33900000000000002</v>
      </c>
      <c r="AE35" s="2">
        <f t="shared" ref="AE35:AG35" si="385">_xlfn.RANK.EQ(AD35, AD$7:AD$375,0)</f>
        <v>138</v>
      </c>
      <c r="AF35" s="2">
        <v>150</v>
      </c>
      <c r="AG35" s="2">
        <f t="shared" si="385"/>
        <v>31</v>
      </c>
      <c r="AH35" s="2">
        <v>221</v>
      </c>
      <c r="AI35" s="2">
        <f t="shared" ref="AI35:AK35" si="386">_xlfn.RANK.EQ(AH35, AH$7:AH$375,0)</f>
        <v>26</v>
      </c>
      <c r="AJ35" s="4">
        <v>0.67900000000000005</v>
      </c>
      <c r="AK35" s="2">
        <f t="shared" si="386"/>
        <v>220</v>
      </c>
      <c r="AL35" s="2">
        <v>117</v>
      </c>
      <c r="AM35" s="2">
        <f t="shared" ref="AM35:AO35" si="387">_xlfn.RANK.EQ(AL35, AL$7:AL$375,0)</f>
        <v>32</v>
      </c>
      <c r="AN35" s="2">
        <v>354</v>
      </c>
      <c r="AO35" s="2">
        <f t="shared" si="387"/>
        <v>7</v>
      </c>
      <c r="AP35" s="2">
        <v>471</v>
      </c>
      <c r="AQ35" s="2">
        <f t="shared" ref="AQ35:AS35" si="388">_xlfn.RANK.EQ(AP35, AP$7:AP$375,0)</f>
        <v>10</v>
      </c>
      <c r="AR35" s="2">
        <v>165</v>
      </c>
      <c r="AS35" s="2">
        <f t="shared" si="388"/>
        <v>62</v>
      </c>
      <c r="AT35" s="2">
        <v>105</v>
      </c>
      <c r="AU35" s="2">
        <f t="shared" ref="AU35:AW35" si="389">_xlfn.RANK.EQ(AT35, AT$7:AT$375,0)</f>
        <v>45</v>
      </c>
      <c r="AV35" s="2">
        <v>51</v>
      </c>
      <c r="AW35" s="2">
        <f t="shared" si="389"/>
        <v>56</v>
      </c>
      <c r="AX35" s="2">
        <v>42</v>
      </c>
      <c r="AY35" s="2">
        <f t="shared" ref="AY35:BA35" si="390">_xlfn.RANK.EQ(AX35, AX$7:AX$375,0)</f>
        <v>16</v>
      </c>
      <c r="AZ35" s="2">
        <v>40</v>
      </c>
      <c r="BA35" s="2">
        <f t="shared" si="390"/>
        <v>3</v>
      </c>
      <c r="BB35" s="2">
        <v>130</v>
      </c>
      <c r="BC35" s="2">
        <f t="shared" ref="BC35:BE35" si="391">_xlfn.RANK.EQ(BB35, BB$7:BB$375,0)</f>
        <v>56</v>
      </c>
      <c r="BD35" s="2">
        <v>229</v>
      </c>
      <c r="BE35" s="2">
        <f t="shared" si="391"/>
        <v>24</v>
      </c>
      <c r="BF35" s="2">
        <v>1158</v>
      </c>
      <c r="BG35" s="2">
        <f t="shared" ref="BG35:BI35" si="392">_xlfn.RANK.EQ(BF35, BF$7:BF$375,0)</f>
        <v>23</v>
      </c>
      <c r="BH35" s="2">
        <v>-403</v>
      </c>
      <c r="BI35" s="2">
        <f t="shared" si="392"/>
        <v>367</v>
      </c>
    </row>
    <row r="36" spans="1:61" x14ac:dyDescent="0.55000000000000004">
      <c r="A36" s="2">
        <v>30</v>
      </c>
      <c r="B36" s="2" t="s">
        <v>80</v>
      </c>
      <c r="C36" s="2" t="s">
        <v>64</v>
      </c>
      <c r="D36" s="2">
        <v>53</v>
      </c>
      <c r="E36" s="2">
        <f t="shared" si="0"/>
        <v>166</v>
      </c>
      <c r="F36" s="2">
        <v>13</v>
      </c>
      <c r="G36" s="2">
        <f t="shared" ref="G36:I36" si="393">_xlfn.RANK.EQ(F36, F$7:F$375,0)</f>
        <v>186</v>
      </c>
      <c r="H36" s="3">
        <v>58.338194444444447</v>
      </c>
      <c r="I36" s="2">
        <f t="shared" si="393"/>
        <v>67</v>
      </c>
      <c r="J36" s="3">
        <v>1.1006944444444444</v>
      </c>
      <c r="K36" s="2">
        <f t="shared" ref="K36:M36" si="394">_xlfn.RANK.EQ(J36, J$7:J$375,0)</f>
        <v>59</v>
      </c>
      <c r="L36" s="2">
        <v>873</v>
      </c>
      <c r="M36" s="2">
        <f t="shared" si="394"/>
        <v>30</v>
      </c>
      <c r="N36" s="2">
        <v>303</v>
      </c>
      <c r="O36" s="2">
        <f t="shared" ref="O36:Q36" si="395">_xlfn.RANK.EQ(N36, N$7:N$375,0)</f>
        <v>35</v>
      </c>
      <c r="P36" s="2">
        <v>616</v>
      </c>
      <c r="Q36" s="2">
        <f t="shared" si="395"/>
        <v>34</v>
      </c>
      <c r="R36" s="4">
        <v>0.49199999999999999</v>
      </c>
      <c r="S36" s="2">
        <f t="shared" ref="S36:U36" si="396">_xlfn.RANK.EQ(R36, R$7:R$375,0)</f>
        <v>75</v>
      </c>
      <c r="T36" s="2">
        <v>229</v>
      </c>
      <c r="U36" s="2">
        <f t="shared" si="396"/>
        <v>36</v>
      </c>
      <c r="V36" s="2">
        <v>387</v>
      </c>
      <c r="W36" s="2">
        <f t="shared" ref="W36:Y36" si="397">_xlfn.RANK.EQ(V36, V$7:V$375,0)</f>
        <v>42</v>
      </c>
      <c r="X36" s="4">
        <v>0.59199999999999997</v>
      </c>
      <c r="Y36" s="2">
        <f t="shared" si="397"/>
        <v>59</v>
      </c>
      <c r="Z36" s="2">
        <v>74</v>
      </c>
      <c r="AA36" s="2">
        <f t="shared" ref="AA36:AC36" si="398">_xlfn.RANK.EQ(Z36, Z$7:Z$375,0)</f>
        <v>68</v>
      </c>
      <c r="AB36" s="2">
        <v>229</v>
      </c>
      <c r="AC36" s="2">
        <f t="shared" si="398"/>
        <v>60</v>
      </c>
      <c r="AD36" s="4">
        <v>0.32300000000000001</v>
      </c>
      <c r="AE36" s="2">
        <f t="shared" ref="AE36:AG36" si="399">_xlfn.RANK.EQ(AD36, AD$7:AD$375,0)</f>
        <v>175</v>
      </c>
      <c r="AF36" s="2">
        <v>193</v>
      </c>
      <c r="AG36" s="2">
        <f t="shared" si="399"/>
        <v>15</v>
      </c>
      <c r="AH36" s="2">
        <v>238</v>
      </c>
      <c r="AI36" s="2">
        <f t="shared" ref="AI36:AK36" si="400">_xlfn.RANK.EQ(AH36, AH$7:AH$375,0)</f>
        <v>19</v>
      </c>
      <c r="AJ36" s="4">
        <v>0.81100000000000005</v>
      </c>
      <c r="AK36" s="2">
        <f t="shared" si="400"/>
        <v>70</v>
      </c>
      <c r="AL36" s="2">
        <v>102</v>
      </c>
      <c r="AM36" s="2">
        <f t="shared" ref="AM36:AO36" si="401">_xlfn.RANK.EQ(AL36, AL$7:AL$375,0)</f>
        <v>39</v>
      </c>
      <c r="AN36" s="2">
        <v>305</v>
      </c>
      <c r="AO36" s="2">
        <f t="shared" si="401"/>
        <v>17</v>
      </c>
      <c r="AP36" s="2">
        <v>407</v>
      </c>
      <c r="AQ36" s="2">
        <f t="shared" ref="AQ36:AS36" si="402">_xlfn.RANK.EQ(AP36, AP$7:AP$375,0)</f>
        <v>25</v>
      </c>
      <c r="AR36" s="2">
        <v>111</v>
      </c>
      <c r="AS36" s="2">
        <f t="shared" si="402"/>
        <v>111</v>
      </c>
      <c r="AT36" s="2">
        <v>71</v>
      </c>
      <c r="AU36" s="2">
        <f t="shared" ref="AU36:AW36" si="403">_xlfn.RANK.EQ(AT36, AT$7:AT$375,0)</f>
        <v>92</v>
      </c>
      <c r="AV36" s="2">
        <v>53</v>
      </c>
      <c r="AW36" s="2">
        <f t="shared" si="403"/>
        <v>48</v>
      </c>
      <c r="AX36" s="2">
        <v>37</v>
      </c>
      <c r="AY36" s="2">
        <f t="shared" ref="AY36:BA36" si="404">_xlfn.RANK.EQ(AX36, AX$7:AX$375,0)</f>
        <v>28</v>
      </c>
      <c r="AZ36" s="2">
        <v>24</v>
      </c>
      <c r="BA36" s="2">
        <f t="shared" si="404"/>
        <v>29</v>
      </c>
      <c r="BB36" s="2">
        <v>92</v>
      </c>
      <c r="BC36" s="2">
        <f t="shared" ref="BC36:BE36" si="405">_xlfn.RANK.EQ(BB36, BB$7:BB$375,0)</f>
        <v>161</v>
      </c>
      <c r="BD36" s="2">
        <v>209</v>
      </c>
      <c r="BE36" s="2">
        <f t="shared" si="405"/>
        <v>32</v>
      </c>
      <c r="BF36" s="2">
        <v>1145</v>
      </c>
      <c r="BG36" s="2">
        <f t="shared" ref="BG36:BI36" si="406">_xlfn.RANK.EQ(BF36, BF$7:BF$375,0)</f>
        <v>24</v>
      </c>
      <c r="BH36" s="2">
        <v>201</v>
      </c>
      <c r="BI36" s="2">
        <f t="shared" si="406"/>
        <v>46</v>
      </c>
    </row>
    <row r="37" spans="1:61" x14ac:dyDescent="0.55000000000000004">
      <c r="A37" s="2">
        <v>31</v>
      </c>
      <c r="B37" s="2" t="s">
        <v>81</v>
      </c>
      <c r="C37" s="2" t="s">
        <v>69</v>
      </c>
      <c r="D37" s="2">
        <v>60</v>
      </c>
      <c r="E37" s="2">
        <f t="shared" si="0"/>
        <v>1</v>
      </c>
      <c r="F37" s="2">
        <v>60</v>
      </c>
      <c r="G37" s="2">
        <f t="shared" ref="G37:I37" si="407">_xlfn.RANK.EQ(F37, F$7:F$375,0)</f>
        <v>1</v>
      </c>
      <c r="H37" s="3">
        <v>74.023611111111109</v>
      </c>
      <c r="I37" s="2">
        <f t="shared" si="407"/>
        <v>10</v>
      </c>
      <c r="J37" s="3">
        <v>1.2333333333333334</v>
      </c>
      <c r="K37" s="2">
        <f t="shared" ref="K37:M37" si="408">_xlfn.RANK.EQ(J37, J$7:J$375,0)</f>
        <v>18</v>
      </c>
      <c r="L37" s="2">
        <v>862</v>
      </c>
      <c r="M37" s="2">
        <f t="shared" si="408"/>
        <v>31</v>
      </c>
      <c r="N37" s="2">
        <v>306</v>
      </c>
      <c r="O37" s="2">
        <f t="shared" ref="O37:Q37" si="409">_xlfn.RANK.EQ(N37, N$7:N$375,0)</f>
        <v>34</v>
      </c>
      <c r="P37" s="2">
        <v>731</v>
      </c>
      <c r="Q37" s="2">
        <f t="shared" si="409"/>
        <v>13</v>
      </c>
      <c r="R37" s="4">
        <v>0.41899999999999998</v>
      </c>
      <c r="S37" s="2">
        <f t="shared" ref="S37:U37" si="410">_xlfn.RANK.EQ(R37, R$7:R$375,0)</f>
        <v>164</v>
      </c>
      <c r="T37" s="2">
        <v>164</v>
      </c>
      <c r="U37" s="2">
        <f t="shared" si="410"/>
        <v>66</v>
      </c>
      <c r="V37" s="2">
        <v>319</v>
      </c>
      <c r="W37" s="2">
        <f t="shared" ref="W37:Y37" si="411">_xlfn.RANK.EQ(V37, V$7:V$375,0)</f>
        <v>60</v>
      </c>
      <c r="X37" s="4">
        <v>0.51400000000000001</v>
      </c>
      <c r="Y37" s="2">
        <f t="shared" si="411"/>
        <v>159</v>
      </c>
      <c r="Z37" s="2">
        <v>142</v>
      </c>
      <c r="AA37" s="2">
        <f t="shared" ref="AA37:AC37" si="412">_xlfn.RANK.EQ(Z37, Z$7:Z$375,0)</f>
        <v>8</v>
      </c>
      <c r="AB37" s="2">
        <v>412</v>
      </c>
      <c r="AC37" s="2">
        <f t="shared" si="412"/>
        <v>5</v>
      </c>
      <c r="AD37" s="4">
        <v>0.34499999999999997</v>
      </c>
      <c r="AE37" s="2">
        <f t="shared" ref="AE37:AG37" si="413">_xlfn.RANK.EQ(AD37, AD$7:AD$375,0)</f>
        <v>121</v>
      </c>
      <c r="AF37" s="2">
        <v>108</v>
      </c>
      <c r="AG37" s="2">
        <f t="shared" si="413"/>
        <v>61</v>
      </c>
      <c r="AH37" s="2">
        <v>122</v>
      </c>
      <c r="AI37" s="2">
        <f t="shared" ref="AI37:AK37" si="414">_xlfn.RANK.EQ(AH37, AH$7:AH$375,0)</f>
        <v>77</v>
      </c>
      <c r="AJ37" s="4">
        <v>0.88500000000000001</v>
      </c>
      <c r="AK37" s="2">
        <f t="shared" si="414"/>
        <v>21</v>
      </c>
      <c r="AL37" s="2">
        <v>17</v>
      </c>
      <c r="AM37" s="2">
        <f t="shared" ref="AM37:AO37" si="415">_xlfn.RANK.EQ(AL37, AL$7:AL$375,0)</f>
        <v>226</v>
      </c>
      <c r="AN37" s="2">
        <v>104</v>
      </c>
      <c r="AO37" s="2">
        <f t="shared" si="415"/>
        <v>105</v>
      </c>
      <c r="AP37" s="2">
        <v>121</v>
      </c>
      <c r="AQ37" s="2">
        <f t="shared" ref="AQ37:AS37" si="416">_xlfn.RANK.EQ(AP37, AP$7:AP$375,0)</f>
        <v>130</v>
      </c>
      <c r="AR37" s="2">
        <v>188</v>
      </c>
      <c r="AS37" s="2">
        <f t="shared" si="416"/>
        <v>45</v>
      </c>
      <c r="AT37" s="2">
        <v>115</v>
      </c>
      <c r="AU37" s="2">
        <f t="shared" ref="AU37:AW37" si="417">_xlfn.RANK.EQ(AT37, AT$7:AT$375,0)</f>
        <v>26</v>
      </c>
      <c r="AV37" s="2">
        <v>41</v>
      </c>
      <c r="AW37" s="2">
        <f t="shared" si="417"/>
        <v>101</v>
      </c>
      <c r="AX37" s="2">
        <v>0</v>
      </c>
      <c r="AY37" s="2">
        <f t="shared" ref="AY37:BA37" si="418">_xlfn.RANK.EQ(AX37, AX$7:AX$375,0)</f>
        <v>298</v>
      </c>
      <c r="AZ37" s="2">
        <v>21</v>
      </c>
      <c r="BA37" s="2">
        <f t="shared" si="418"/>
        <v>41</v>
      </c>
      <c r="BB37" s="2">
        <v>74</v>
      </c>
      <c r="BC37" s="2">
        <f t="shared" ref="BC37:BE37" si="419">_xlfn.RANK.EQ(BB37, BB$7:BB$375,0)</f>
        <v>205</v>
      </c>
      <c r="BD37" s="2">
        <v>153</v>
      </c>
      <c r="BE37" s="2">
        <f t="shared" si="419"/>
        <v>70</v>
      </c>
      <c r="BF37" s="2">
        <v>716</v>
      </c>
      <c r="BG37" s="2">
        <f t="shared" ref="BG37:BI37" si="420">_xlfn.RANK.EQ(BF37, BF$7:BF$375,0)</f>
        <v>72</v>
      </c>
      <c r="BH37" s="2">
        <v>-276</v>
      </c>
      <c r="BI37" s="2">
        <f t="shared" si="420"/>
        <v>359</v>
      </c>
    </row>
    <row r="38" spans="1:61" x14ac:dyDescent="0.55000000000000004">
      <c r="A38" s="2">
        <v>31</v>
      </c>
      <c r="B38" s="2" t="s">
        <v>82</v>
      </c>
      <c r="C38" s="2" t="s">
        <v>48</v>
      </c>
      <c r="D38" s="2">
        <v>57</v>
      </c>
      <c r="E38" s="2">
        <f t="shared" si="0"/>
        <v>100</v>
      </c>
      <c r="F38" s="2">
        <v>57</v>
      </c>
      <c r="G38" s="2">
        <f t="shared" ref="G38:I38" si="421">_xlfn.RANK.EQ(F38, F$7:F$375,0)</f>
        <v>23</v>
      </c>
      <c r="H38" s="3">
        <v>67.698611111111106</v>
      </c>
      <c r="I38" s="2">
        <f t="shared" si="421"/>
        <v>26</v>
      </c>
      <c r="J38" s="3">
        <v>1.1875</v>
      </c>
      <c r="K38" s="2">
        <f t="shared" ref="K38:M38" si="422">_xlfn.RANK.EQ(J38, J$7:J$375,0)</f>
        <v>30</v>
      </c>
      <c r="L38" s="2">
        <v>862</v>
      </c>
      <c r="M38" s="2">
        <f t="shared" si="422"/>
        <v>31</v>
      </c>
      <c r="N38" s="2">
        <v>320</v>
      </c>
      <c r="O38" s="2">
        <f t="shared" ref="O38:Q38" si="423">_xlfn.RANK.EQ(N38, N$7:N$375,0)</f>
        <v>31</v>
      </c>
      <c r="P38" s="2">
        <v>619</v>
      </c>
      <c r="Q38" s="2">
        <f t="shared" si="423"/>
        <v>33</v>
      </c>
      <c r="R38" s="4">
        <v>0.51700000000000002</v>
      </c>
      <c r="S38" s="2">
        <f t="shared" ref="S38:U38" si="424">_xlfn.RANK.EQ(R38, R$7:R$375,0)</f>
        <v>57</v>
      </c>
      <c r="T38" s="2">
        <v>238</v>
      </c>
      <c r="U38" s="2">
        <f t="shared" si="424"/>
        <v>32</v>
      </c>
      <c r="V38" s="2">
        <v>411</v>
      </c>
      <c r="W38" s="2">
        <f t="shared" ref="W38:Y38" si="425">_xlfn.RANK.EQ(V38, V$7:V$375,0)</f>
        <v>33</v>
      </c>
      <c r="X38" s="4">
        <v>0.57899999999999996</v>
      </c>
      <c r="Y38" s="2">
        <f t="shared" si="425"/>
        <v>76</v>
      </c>
      <c r="Z38" s="2">
        <v>82</v>
      </c>
      <c r="AA38" s="2">
        <f t="shared" ref="AA38:AC38" si="426">_xlfn.RANK.EQ(Z38, Z$7:Z$375,0)</f>
        <v>57</v>
      </c>
      <c r="AB38" s="2">
        <v>208</v>
      </c>
      <c r="AC38" s="2">
        <f t="shared" si="426"/>
        <v>73</v>
      </c>
      <c r="AD38" s="4">
        <v>0.39400000000000002</v>
      </c>
      <c r="AE38" s="2">
        <f t="shared" ref="AE38:AG38" si="427">_xlfn.RANK.EQ(AD38, AD$7:AD$375,0)</f>
        <v>45</v>
      </c>
      <c r="AF38" s="2">
        <v>140</v>
      </c>
      <c r="AG38" s="2">
        <f t="shared" si="427"/>
        <v>36</v>
      </c>
      <c r="AH38" s="2">
        <v>180</v>
      </c>
      <c r="AI38" s="2">
        <f t="shared" ref="AI38:AK38" si="428">_xlfn.RANK.EQ(AH38, AH$7:AH$375,0)</f>
        <v>43</v>
      </c>
      <c r="AJ38" s="4">
        <v>0.77800000000000002</v>
      </c>
      <c r="AK38" s="2">
        <f t="shared" si="428"/>
        <v>112</v>
      </c>
      <c r="AL38" s="2">
        <v>126</v>
      </c>
      <c r="AM38" s="2">
        <f t="shared" ref="AM38:AO38" si="429">_xlfn.RANK.EQ(AL38, AL$7:AL$375,0)</f>
        <v>24</v>
      </c>
      <c r="AN38" s="2">
        <v>213</v>
      </c>
      <c r="AO38" s="2">
        <f t="shared" si="429"/>
        <v>63</v>
      </c>
      <c r="AP38" s="2">
        <v>339</v>
      </c>
      <c r="AQ38" s="2">
        <f t="shared" ref="AQ38:AS38" si="430">_xlfn.RANK.EQ(AP38, AP$7:AP$375,0)</f>
        <v>46</v>
      </c>
      <c r="AR38" s="2">
        <v>136</v>
      </c>
      <c r="AS38" s="2">
        <f t="shared" si="430"/>
        <v>85</v>
      </c>
      <c r="AT38" s="2">
        <v>127</v>
      </c>
      <c r="AU38" s="2">
        <f t="shared" ref="AU38:AW38" si="431">_xlfn.RANK.EQ(AT38, AT$7:AT$375,0)</f>
        <v>15</v>
      </c>
      <c r="AV38" s="2">
        <v>51</v>
      </c>
      <c r="AW38" s="2">
        <f t="shared" si="431"/>
        <v>56</v>
      </c>
      <c r="AX38" s="2">
        <v>40</v>
      </c>
      <c r="AY38" s="2">
        <f t="shared" ref="AY38:BA38" si="432">_xlfn.RANK.EQ(AX38, AX$7:AX$375,0)</f>
        <v>22</v>
      </c>
      <c r="AZ38" s="2">
        <v>23</v>
      </c>
      <c r="BA38" s="2">
        <f t="shared" si="432"/>
        <v>34</v>
      </c>
      <c r="BB38" s="2">
        <v>173</v>
      </c>
      <c r="BC38" s="2">
        <f t="shared" ref="BC38:BE38" si="433">_xlfn.RANK.EQ(BB38, BB$7:BB$375,0)</f>
        <v>4</v>
      </c>
      <c r="BD38" s="2">
        <v>205</v>
      </c>
      <c r="BE38" s="2">
        <f t="shared" si="433"/>
        <v>36</v>
      </c>
      <c r="BF38" s="2">
        <v>971</v>
      </c>
      <c r="BG38" s="2">
        <f t="shared" ref="BG38:BI38" si="434">_xlfn.RANK.EQ(BF38, BF$7:BF$375,0)</f>
        <v>45</v>
      </c>
      <c r="BH38" s="2">
        <v>-53</v>
      </c>
      <c r="BI38" s="2">
        <f t="shared" si="434"/>
        <v>236</v>
      </c>
    </row>
    <row r="39" spans="1:61" x14ac:dyDescent="0.55000000000000004">
      <c r="A39" s="2">
        <v>33</v>
      </c>
      <c r="B39" s="2" t="s">
        <v>83</v>
      </c>
      <c r="C39" s="2" t="s">
        <v>84</v>
      </c>
      <c r="D39" s="2">
        <v>60</v>
      </c>
      <c r="E39" s="2">
        <f t="shared" si="0"/>
        <v>1</v>
      </c>
      <c r="F39" s="2">
        <v>60</v>
      </c>
      <c r="G39" s="2">
        <f t="shared" ref="G39:I39" si="435">_xlfn.RANK.EQ(F39, F$7:F$375,0)</f>
        <v>1</v>
      </c>
      <c r="H39" s="3">
        <v>71.80694444444444</v>
      </c>
      <c r="I39" s="2">
        <f t="shared" si="435"/>
        <v>15</v>
      </c>
      <c r="J39" s="3">
        <v>1.1965277777777779</v>
      </c>
      <c r="K39" s="2">
        <f t="shared" ref="K39:M39" si="436">_xlfn.RANK.EQ(J39, J$7:J$375,0)</f>
        <v>28</v>
      </c>
      <c r="L39" s="2">
        <v>852</v>
      </c>
      <c r="M39" s="2">
        <f t="shared" si="436"/>
        <v>33</v>
      </c>
      <c r="N39" s="2">
        <v>296</v>
      </c>
      <c r="O39" s="2">
        <f t="shared" ref="O39:Q39" si="437">_xlfn.RANK.EQ(N39, N$7:N$375,0)</f>
        <v>38</v>
      </c>
      <c r="P39" s="2">
        <v>650</v>
      </c>
      <c r="Q39" s="2">
        <f t="shared" si="437"/>
        <v>23</v>
      </c>
      <c r="R39" s="4">
        <v>0.45500000000000002</v>
      </c>
      <c r="S39" s="2">
        <f t="shared" ref="S39:U39" si="438">_xlfn.RANK.EQ(R39, R$7:R$375,0)</f>
        <v>110</v>
      </c>
      <c r="T39" s="2">
        <v>171</v>
      </c>
      <c r="U39" s="2">
        <f t="shared" si="438"/>
        <v>62</v>
      </c>
      <c r="V39" s="2">
        <v>320</v>
      </c>
      <c r="W39" s="2">
        <f t="shared" ref="W39:Y39" si="439">_xlfn.RANK.EQ(V39, V$7:V$375,0)</f>
        <v>58</v>
      </c>
      <c r="X39" s="4">
        <v>0.53400000000000003</v>
      </c>
      <c r="Y39" s="2">
        <f t="shared" si="439"/>
        <v>133</v>
      </c>
      <c r="Z39" s="2">
        <v>125</v>
      </c>
      <c r="AA39" s="2">
        <f t="shared" ref="AA39:AC39" si="440">_xlfn.RANK.EQ(Z39, Z$7:Z$375,0)</f>
        <v>15</v>
      </c>
      <c r="AB39" s="2">
        <v>330</v>
      </c>
      <c r="AC39" s="2">
        <f t="shared" si="440"/>
        <v>20</v>
      </c>
      <c r="AD39" s="4">
        <v>0.379</v>
      </c>
      <c r="AE39" s="2">
        <f t="shared" ref="AE39:AG39" si="441">_xlfn.RANK.EQ(AD39, AD$7:AD$375,0)</f>
        <v>65</v>
      </c>
      <c r="AF39" s="2">
        <v>135</v>
      </c>
      <c r="AG39" s="2">
        <f t="shared" si="441"/>
        <v>43</v>
      </c>
      <c r="AH39" s="2">
        <v>191</v>
      </c>
      <c r="AI39" s="2">
        <f t="shared" ref="AI39:AK39" si="442">_xlfn.RANK.EQ(AH39, AH$7:AH$375,0)</f>
        <v>35</v>
      </c>
      <c r="AJ39" s="4">
        <v>0.70699999999999996</v>
      </c>
      <c r="AK39" s="2">
        <f t="shared" si="442"/>
        <v>199</v>
      </c>
      <c r="AL39" s="2">
        <v>37</v>
      </c>
      <c r="AM39" s="2">
        <f t="shared" ref="AM39:AO39" si="443">_xlfn.RANK.EQ(AL39, AL$7:AL$375,0)</f>
        <v>123</v>
      </c>
      <c r="AN39" s="2">
        <v>204</v>
      </c>
      <c r="AO39" s="2">
        <f t="shared" si="443"/>
        <v>66</v>
      </c>
      <c r="AP39" s="2">
        <v>241</v>
      </c>
      <c r="AQ39" s="2">
        <f t="shared" ref="AQ39:AS39" si="444">_xlfn.RANK.EQ(AP39, AP$7:AP$375,0)</f>
        <v>75</v>
      </c>
      <c r="AR39" s="2">
        <v>239</v>
      </c>
      <c r="AS39" s="2">
        <f t="shared" si="444"/>
        <v>22</v>
      </c>
      <c r="AT39" s="2">
        <v>111</v>
      </c>
      <c r="AU39" s="2">
        <f t="shared" ref="AU39:AW39" si="445">_xlfn.RANK.EQ(AT39, AT$7:AT$375,0)</f>
        <v>32</v>
      </c>
      <c r="AV39" s="2">
        <v>86</v>
      </c>
      <c r="AW39" s="2">
        <f t="shared" si="445"/>
        <v>12</v>
      </c>
      <c r="AX39" s="2">
        <v>19</v>
      </c>
      <c r="AY39" s="2">
        <f t="shared" ref="AY39:BA39" si="446">_xlfn.RANK.EQ(AX39, AX$7:AX$375,0)</f>
        <v>68</v>
      </c>
      <c r="AZ39" s="2">
        <v>17</v>
      </c>
      <c r="BA39" s="2">
        <f t="shared" si="446"/>
        <v>66</v>
      </c>
      <c r="BB39" s="2">
        <v>133</v>
      </c>
      <c r="BC39" s="2">
        <f t="shared" ref="BC39:BE39" si="447">_xlfn.RANK.EQ(BB39, BB$7:BB$375,0)</f>
        <v>50</v>
      </c>
      <c r="BD39" s="2">
        <v>222</v>
      </c>
      <c r="BE39" s="2">
        <f t="shared" si="447"/>
        <v>28</v>
      </c>
      <c r="BF39" s="2">
        <v>987</v>
      </c>
      <c r="BG39" s="2">
        <f t="shared" ref="BG39:BI39" si="448">_xlfn.RANK.EQ(BF39, BF$7:BF$375,0)</f>
        <v>44</v>
      </c>
      <c r="BH39" s="2">
        <v>-273</v>
      </c>
      <c r="BI39" s="2">
        <f t="shared" si="448"/>
        <v>358</v>
      </c>
    </row>
    <row r="40" spans="1:61" x14ac:dyDescent="0.55000000000000004">
      <c r="A40" s="2">
        <v>34</v>
      </c>
      <c r="B40" s="2" t="s">
        <v>85</v>
      </c>
      <c r="C40" s="2" t="s">
        <v>86</v>
      </c>
      <c r="D40" s="2">
        <v>54</v>
      </c>
      <c r="E40" s="2">
        <f t="shared" si="0"/>
        <v>155</v>
      </c>
      <c r="F40" s="2">
        <v>46</v>
      </c>
      <c r="G40" s="2">
        <f t="shared" ref="G40:I40" si="449">_xlfn.RANK.EQ(F40, F$7:F$375,0)</f>
        <v>64</v>
      </c>
      <c r="H40" s="3">
        <v>63.28541666666667</v>
      </c>
      <c r="I40" s="2">
        <f t="shared" si="449"/>
        <v>41</v>
      </c>
      <c r="J40" s="3">
        <v>1.1715277777777777</v>
      </c>
      <c r="K40" s="2">
        <f t="shared" ref="K40:M40" si="450">_xlfn.RANK.EQ(J40, J$7:J$375,0)</f>
        <v>34</v>
      </c>
      <c r="L40" s="2">
        <v>835</v>
      </c>
      <c r="M40" s="2">
        <f t="shared" si="450"/>
        <v>34</v>
      </c>
      <c r="N40" s="2">
        <v>265</v>
      </c>
      <c r="O40" s="2">
        <f t="shared" ref="O40:Q40" si="451">_xlfn.RANK.EQ(N40, N$7:N$375,0)</f>
        <v>50</v>
      </c>
      <c r="P40" s="2">
        <v>604</v>
      </c>
      <c r="Q40" s="2">
        <f t="shared" si="451"/>
        <v>36</v>
      </c>
      <c r="R40" s="4">
        <v>0.439</v>
      </c>
      <c r="S40" s="2">
        <f t="shared" ref="S40:U40" si="452">_xlfn.RANK.EQ(R40, R$7:R$375,0)</f>
        <v>134</v>
      </c>
      <c r="T40" s="2">
        <v>202</v>
      </c>
      <c r="U40" s="2">
        <f t="shared" si="452"/>
        <v>46</v>
      </c>
      <c r="V40" s="2">
        <v>388</v>
      </c>
      <c r="W40" s="2">
        <f t="shared" ref="W40:Y40" si="453">_xlfn.RANK.EQ(V40, V$7:V$375,0)</f>
        <v>41</v>
      </c>
      <c r="X40" s="4">
        <v>0.52100000000000002</v>
      </c>
      <c r="Y40" s="2">
        <f t="shared" si="453"/>
        <v>152</v>
      </c>
      <c r="Z40" s="2">
        <v>63</v>
      </c>
      <c r="AA40" s="2">
        <f t="shared" ref="AA40:AC40" si="454">_xlfn.RANK.EQ(Z40, Z$7:Z$375,0)</f>
        <v>89</v>
      </c>
      <c r="AB40" s="2">
        <v>216</v>
      </c>
      <c r="AC40" s="2">
        <f t="shared" si="454"/>
        <v>66</v>
      </c>
      <c r="AD40" s="4">
        <v>0.29199999999999998</v>
      </c>
      <c r="AE40" s="2">
        <f t="shared" ref="AE40:AG40" si="455">_xlfn.RANK.EQ(AD40, AD$7:AD$375,0)</f>
        <v>227</v>
      </c>
      <c r="AF40" s="2">
        <v>242</v>
      </c>
      <c r="AG40" s="2">
        <f t="shared" si="455"/>
        <v>8</v>
      </c>
      <c r="AH40" s="2">
        <v>319</v>
      </c>
      <c r="AI40" s="2">
        <f t="shared" ref="AI40:AK40" si="456">_xlfn.RANK.EQ(AH40, AH$7:AH$375,0)</f>
        <v>8</v>
      </c>
      <c r="AJ40" s="4">
        <v>0.75900000000000001</v>
      </c>
      <c r="AK40" s="2">
        <f t="shared" si="456"/>
        <v>139</v>
      </c>
      <c r="AL40" s="2">
        <v>98</v>
      </c>
      <c r="AM40" s="2">
        <f t="shared" ref="AM40:AO40" si="457">_xlfn.RANK.EQ(AL40, AL$7:AL$375,0)</f>
        <v>40</v>
      </c>
      <c r="AN40" s="2">
        <v>259</v>
      </c>
      <c r="AO40" s="2">
        <f t="shared" si="457"/>
        <v>37</v>
      </c>
      <c r="AP40" s="2">
        <v>357</v>
      </c>
      <c r="AQ40" s="2">
        <f t="shared" ref="AQ40:AS40" si="458">_xlfn.RANK.EQ(AP40, AP$7:AP$375,0)</f>
        <v>40</v>
      </c>
      <c r="AR40" s="2">
        <v>109</v>
      </c>
      <c r="AS40" s="2">
        <f t="shared" si="458"/>
        <v>115</v>
      </c>
      <c r="AT40" s="2">
        <v>84</v>
      </c>
      <c r="AU40" s="2">
        <f t="shared" ref="AU40:AW40" si="459">_xlfn.RANK.EQ(AT40, AT$7:AT$375,0)</f>
        <v>73</v>
      </c>
      <c r="AV40" s="2">
        <v>48</v>
      </c>
      <c r="AW40" s="2">
        <f t="shared" si="459"/>
        <v>67</v>
      </c>
      <c r="AX40" s="2">
        <v>17</v>
      </c>
      <c r="AY40" s="2">
        <f t="shared" ref="AY40:BA40" si="460">_xlfn.RANK.EQ(AX40, AX$7:AX$375,0)</f>
        <v>72</v>
      </c>
      <c r="AZ40" s="2">
        <v>25</v>
      </c>
      <c r="BA40" s="2">
        <f t="shared" si="460"/>
        <v>25</v>
      </c>
      <c r="BB40" s="2">
        <v>93</v>
      </c>
      <c r="BC40" s="2">
        <f t="shared" ref="BC40:BE40" si="461">_xlfn.RANK.EQ(BB40, BB$7:BB$375,0)</f>
        <v>158</v>
      </c>
      <c r="BD40" s="2">
        <v>304</v>
      </c>
      <c r="BE40" s="2">
        <f t="shared" si="461"/>
        <v>9</v>
      </c>
      <c r="BF40" s="2">
        <v>1052</v>
      </c>
      <c r="BG40" s="2">
        <f t="shared" ref="BG40:BI40" si="462">_xlfn.RANK.EQ(BF40, BF$7:BF$375,0)</f>
        <v>31</v>
      </c>
      <c r="BH40" s="2">
        <v>-294</v>
      </c>
      <c r="BI40" s="2">
        <f t="shared" si="462"/>
        <v>360</v>
      </c>
    </row>
    <row r="41" spans="1:61" x14ac:dyDescent="0.55000000000000004">
      <c r="A41" s="2">
        <v>35</v>
      </c>
      <c r="B41" s="2" t="s">
        <v>87</v>
      </c>
      <c r="C41" s="2" t="s">
        <v>40</v>
      </c>
      <c r="D41" s="2">
        <v>53</v>
      </c>
      <c r="E41" s="2">
        <f t="shared" si="0"/>
        <v>166</v>
      </c>
      <c r="F41" s="2">
        <v>48</v>
      </c>
      <c r="G41" s="2">
        <f t="shared" ref="G41:I41" si="463">_xlfn.RANK.EQ(F41, F$7:F$375,0)</f>
        <v>58</v>
      </c>
      <c r="H41" s="3">
        <v>60.241666666666667</v>
      </c>
      <c r="I41" s="2">
        <f t="shared" si="463"/>
        <v>53</v>
      </c>
      <c r="J41" s="3">
        <v>1.1361111111111111</v>
      </c>
      <c r="K41" s="2">
        <f t="shared" ref="K41:M41" si="464">_xlfn.RANK.EQ(J41, J$7:J$375,0)</f>
        <v>46</v>
      </c>
      <c r="L41" s="2">
        <v>832</v>
      </c>
      <c r="M41" s="2">
        <f t="shared" si="464"/>
        <v>35</v>
      </c>
      <c r="N41" s="2">
        <v>295</v>
      </c>
      <c r="O41" s="2">
        <f t="shared" ref="O41:Q41" si="465">_xlfn.RANK.EQ(N41, N$7:N$375,0)</f>
        <v>39</v>
      </c>
      <c r="P41" s="2">
        <v>606</v>
      </c>
      <c r="Q41" s="2">
        <f t="shared" si="465"/>
        <v>35</v>
      </c>
      <c r="R41" s="4">
        <v>0.48699999999999999</v>
      </c>
      <c r="S41" s="2">
        <f t="shared" ref="S41:U41" si="466">_xlfn.RANK.EQ(R41, R$7:R$375,0)</f>
        <v>80</v>
      </c>
      <c r="T41" s="2">
        <v>236</v>
      </c>
      <c r="U41" s="2">
        <f t="shared" si="466"/>
        <v>35</v>
      </c>
      <c r="V41" s="2">
        <v>421</v>
      </c>
      <c r="W41" s="2">
        <f t="shared" ref="W41:Y41" si="467">_xlfn.RANK.EQ(V41, V$7:V$375,0)</f>
        <v>30</v>
      </c>
      <c r="X41" s="4">
        <v>0.56100000000000005</v>
      </c>
      <c r="Y41" s="2">
        <f t="shared" si="467"/>
        <v>93</v>
      </c>
      <c r="Z41" s="2">
        <v>59</v>
      </c>
      <c r="AA41" s="2">
        <f t="shared" ref="AA41:AC41" si="468">_xlfn.RANK.EQ(Z41, Z$7:Z$375,0)</f>
        <v>98</v>
      </c>
      <c r="AB41" s="2">
        <v>185</v>
      </c>
      <c r="AC41" s="2">
        <f t="shared" si="468"/>
        <v>92</v>
      </c>
      <c r="AD41" s="4">
        <v>0.31900000000000001</v>
      </c>
      <c r="AE41" s="2">
        <f t="shared" ref="AE41:AG41" si="469">_xlfn.RANK.EQ(AD41, AD$7:AD$375,0)</f>
        <v>183</v>
      </c>
      <c r="AF41" s="2">
        <v>183</v>
      </c>
      <c r="AG41" s="2">
        <f t="shared" si="469"/>
        <v>18</v>
      </c>
      <c r="AH41" s="2">
        <v>269</v>
      </c>
      <c r="AI41" s="2">
        <f t="shared" ref="AI41:AK41" si="470">_xlfn.RANK.EQ(AH41, AH$7:AH$375,0)</f>
        <v>14</v>
      </c>
      <c r="AJ41" s="4">
        <v>0.68</v>
      </c>
      <c r="AK41" s="2">
        <f t="shared" si="470"/>
        <v>218</v>
      </c>
      <c r="AL41" s="2">
        <v>98</v>
      </c>
      <c r="AM41" s="2">
        <f t="shared" ref="AM41:AO41" si="471">_xlfn.RANK.EQ(AL41, AL$7:AL$375,0)</f>
        <v>40</v>
      </c>
      <c r="AN41" s="2">
        <v>303</v>
      </c>
      <c r="AO41" s="2">
        <f t="shared" si="471"/>
        <v>18</v>
      </c>
      <c r="AP41" s="2">
        <v>401</v>
      </c>
      <c r="AQ41" s="2">
        <f t="shared" ref="AQ41:AS41" si="472">_xlfn.RANK.EQ(AP41, AP$7:AP$375,0)</f>
        <v>27</v>
      </c>
      <c r="AR41" s="2">
        <v>243</v>
      </c>
      <c r="AS41" s="2">
        <f t="shared" si="472"/>
        <v>19</v>
      </c>
      <c r="AT41" s="2">
        <v>122</v>
      </c>
      <c r="AU41" s="2">
        <f t="shared" ref="AU41:AW41" si="473">_xlfn.RANK.EQ(AT41, AT$7:AT$375,0)</f>
        <v>21</v>
      </c>
      <c r="AV41" s="2">
        <v>50</v>
      </c>
      <c r="AW41" s="2">
        <f t="shared" si="473"/>
        <v>62</v>
      </c>
      <c r="AX41" s="2">
        <v>42</v>
      </c>
      <c r="AY41" s="2">
        <f t="shared" ref="AY41:BA41" si="474">_xlfn.RANK.EQ(AX41, AX$7:AX$375,0)</f>
        <v>16</v>
      </c>
      <c r="AZ41" s="2">
        <v>31</v>
      </c>
      <c r="BA41" s="2">
        <f t="shared" si="474"/>
        <v>16</v>
      </c>
      <c r="BB41" s="2">
        <v>82</v>
      </c>
      <c r="BC41" s="2">
        <f t="shared" ref="BC41:BE41" si="475">_xlfn.RANK.EQ(BB41, BB$7:BB$375,0)</f>
        <v>186</v>
      </c>
      <c r="BD41" s="2">
        <v>306</v>
      </c>
      <c r="BE41" s="2">
        <f t="shared" si="475"/>
        <v>8</v>
      </c>
      <c r="BF41" s="2">
        <v>1240</v>
      </c>
      <c r="BG41" s="2">
        <f t="shared" ref="BG41:BI41" si="476">_xlfn.RANK.EQ(BF41, BF$7:BF$375,0)</f>
        <v>20</v>
      </c>
      <c r="BH41" s="2">
        <v>136</v>
      </c>
      <c r="BI41" s="2">
        <f t="shared" si="476"/>
        <v>71</v>
      </c>
    </row>
    <row r="42" spans="1:61" x14ac:dyDescent="0.55000000000000004">
      <c r="A42" s="2">
        <v>36</v>
      </c>
      <c r="B42" s="2" t="s">
        <v>88</v>
      </c>
      <c r="C42" s="2" t="s">
        <v>89</v>
      </c>
      <c r="D42" s="2">
        <v>49</v>
      </c>
      <c r="E42" s="2">
        <f t="shared" si="0"/>
        <v>194</v>
      </c>
      <c r="F42" s="2">
        <v>46</v>
      </c>
      <c r="G42" s="2">
        <f t="shared" ref="G42:I42" si="477">_xlfn.RANK.EQ(F42, F$7:F$375,0)</f>
        <v>64</v>
      </c>
      <c r="H42" s="3">
        <v>58.896527777777777</v>
      </c>
      <c r="I42" s="2">
        <f t="shared" si="477"/>
        <v>63</v>
      </c>
      <c r="J42" s="3">
        <v>1.2013888888888888</v>
      </c>
      <c r="K42" s="2">
        <f t="shared" ref="K42:M42" si="478">_xlfn.RANK.EQ(J42, J$7:J$375,0)</f>
        <v>26</v>
      </c>
      <c r="L42" s="2">
        <v>820</v>
      </c>
      <c r="M42" s="2">
        <f t="shared" si="478"/>
        <v>36</v>
      </c>
      <c r="N42" s="2">
        <v>299</v>
      </c>
      <c r="O42" s="2">
        <f t="shared" ref="O42:Q42" si="479">_xlfn.RANK.EQ(N42, N$7:N$375,0)</f>
        <v>36</v>
      </c>
      <c r="P42" s="2">
        <v>642</v>
      </c>
      <c r="Q42" s="2">
        <f t="shared" si="479"/>
        <v>26</v>
      </c>
      <c r="R42" s="4">
        <v>0.46600000000000003</v>
      </c>
      <c r="S42" s="2">
        <f t="shared" ref="S42:U42" si="480">_xlfn.RANK.EQ(R42, R$7:R$375,0)</f>
        <v>96</v>
      </c>
      <c r="T42" s="2">
        <v>214</v>
      </c>
      <c r="U42" s="2">
        <f t="shared" si="480"/>
        <v>42</v>
      </c>
      <c r="V42" s="2">
        <v>418</v>
      </c>
      <c r="W42" s="2">
        <f t="shared" ref="W42:Y42" si="481">_xlfn.RANK.EQ(V42, V$7:V$375,0)</f>
        <v>31</v>
      </c>
      <c r="X42" s="4">
        <v>0.51200000000000001</v>
      </c>
      <c r="Y42" s="2">
        <f t="shared" si="481"/>
        <v>165</v>
      </c>
      <c r="Z42" s="2">
        <v>85</v>
      </c>
      <c r="AA42" s="2">
        <f t="shared" ref="AA42:AC42" si="482">_xlfn.RANK.EQ(Z42, Z$7:Z$375,0)</f>
        <v>52</v>
      </c>
      <c r="AB42" s="2">
        <v>224</v>
      </c>
      <c r="AC42" s="2">
        <f t="shared" si="482"/>
        <v>64</v>
      </c>
      <c r="AD42" s="4">
        <v>0.379</v>
      </c>
      <c r="AE42" s="2">
        <f t="shared" ref="AE42:AG42" si="483">_xlfn.RANK.EQ(AD42, AD$7:AD$375,0)</f>
        <v>65</v>
      </c>
      <c r="AF42" s="2">
        <v>137</v>
      </c>
      <c r="AG42" s="2">
        <f t="shared" si="483"/>
        <v>38</v>
      </c>
      <c r="AH42" s="2">
        <v>174</v>
      </c>
      <c r="AI42" s="2">
        <f t="shared" ref="AI42:AK42" si="484">_xlfn.RANK.EQ(AH42, AH$7:AH$375,0)</f>
        <v>50</v>
      </c>
      <c r="AJ42" s="4">
        <v>0.78700000000000003</v>
      </c>
      <c r="AK42" s="2">
        <f t="shared" si="484"/>
        <v>105</v>
      </c>
      <c r="AL42" s="2">
        <v>69</v>
      </c>
      <c r="AM42" s="2">
        <f t="shared" ref="AM42:AO42" si="485">_xlfn.RANK.EQ(AL42, AL$7:AL$375,0)</f>
        <v>60</v>
      </c>
      <c r="AN42" s="2">
        <v>267</v>
      </c>
      <c r="AO42" s="2">
        <f t="shared" si="485"/>
        <v>32</v>
      </c>
      <c r="AP42" s="2">
        <v>336</v>
      </c>
      <c r="AQ42" s="2">
        <f t="shared" ref="AQ42:AS42" si="486">_xlfn.RANK.EQ(AP42, AP$7:AP$375,0)</f>
        <v>48</v>
      </c>
      <c r="AR42" s="2">
        <v>186</v>
      </c>
      <c r="AS42" s="2">
        <f t="shared" si="486"/>
        <v>47</v>
      </c>
      <c r="AT42" s="2">
        <v>88</v>
      </c>
      <c r="AU42" s="2">
        <f t="shared" ref="AU42:AW42" si="487">_xlfn.RANK.EQ(AT42, AT$7:AT$375,0)</f>
        <v>64</v>
      </c>
      <c r="AV42" s="2">
        <v>44</v>
      </c>
      <c r="AW42" s="2">
        <f t="shared" si="487"/>
        <v>87</v>
      </c>
      <c r="AX42" s="2">
        <v>17</v>
      </c>
      <c r="AY42" s="2">
        <f t="shared" ref="AY42:BA42" si="488">_xlfn.RANK.EQ(AX42, AX$7:AX$375,0)</f>
        <v>72</v>
      </c>
      <c r="AZ42" s="2">
        <v>7</v>
      </c>
      <c r="BA42" s="2">
        <f t="shared" si="488"/>
        <v>195</v>
      </c>
      <c r="BB42" s="2">
        <v>84</v>
      </c>
      <c r="BC42" s="2">
        <f t="shared" ref="BC42:BE42" si="489">_xlfn.RANK.EQ(BB42, BB$7:BB$375,0)</f>
        <v>180</v>
      </c>
      <c r="BD42" s="2">
        <v>196</v>
      </c>
      <c r="BE42" s="2">
        <f t="shared" si="489"/>
        <v>45</v>
      </c>
      <c r="BF42" s="2">
        <v>1038</v>
      </c>
      <c r="BG42" s="2">
        <f t="shared" ref="BG42:BI42" si="490">_xlfn.RANK.EQ(BF42, BF$7:BF$375,0)</f>
        <v>34</v>
      </c>
      <c r="BH42" s="2">
        <v>345</v>
      </c>
      <c r="BI42" s="2">
        <f t="shared" si="490"/>
        <v>17</v>
      </c>
    </row>
    <row r="43" spans="1:61" x14ac:dyDescent="0.55000000000000004">
      <c r="A43" s="2">
        <v>37</v>
      </c>
      <c r="B43" s="2" t="s">
        <v>90</v>
      </c>
      <c r="C43" s="2" t="s">
        <v>91</v>
      </c>
      <c r="D43" s="2">
        <v>57</v>
      </c>
      <c r="E43" s="2">
        <f t="shared" si="0"/>
        <v>100</v>
      </c>
      <c r="F43" s="2">
        <v>54</v>
      </c>
      <c r="G43" s="2">
        <f t="shared" ref="G43:I43" si="491">_xlfn.RANK.EQ(F43, F$7:F$375,0)</f>
        <v>34</v>
      </c>
      <c r="H43" s="3">
        <v>71.848611111111111</v>
      </c>
      <c r="I43" s="2">
        <f t="shared" si="491"/>
        <v>14</v>
      </c>
      <c r="J43" s="3">
        <v>1.2604166666666667</v>
      </c>
      <c r="K43" s="2">
        <f t="shared" ref="K43:M43" si="492">_xlfn.RANK.EQ(J43, J$7:J$375,0)</f>
        <v>11</v>
      </c>
      <c r="L43" s="2">
        <v>816</v>
      </c>
      <c r="M43" s="2">
        <f t="shared" si="492"/>
        <v>37</v>
      </c>
      <c r="N43" s="2">
        <v>326</v>
      </c>
      <c r="O43" s="2">
        <f t="shared" ref="O43:Q43" si="493">_xlfn.RANK.EQ(N43, N$7:N$375,0)</f>
        <v>27</v>
      </c>
      <c r="P43" s="2">
        <v>555</v>
      </c>
      <c r="Q43" s="2">
        <f t="shared" si="493"/>
        <v>51</v>
      </c>
      <c r="R43" s="4">
        <v>0.58699999999999997</v>
      </c>
      <c r="S43" s="2">
        <f t="shared" ref="S43:U43" si="494">_xlfn.RANK.EQ(R43, R$7:R$375,0)</f>
        <v>23</v>
      </c>
      <c r="T43" s="2">
        <v>326</v>
      </c>
      <c r="U43" s="2">
        <f t="shared" si="494"/>
        <v>7</v>
      </c>
      <c r="V43" s="2">
        <v>555</v>
      </c>
      <c r="W43" s="2">
        <f t="shared" ref="W43:Y43" si="495">_xlfn.RANK.EQ(V43, V$7:V$375,0)</f>
        <v>8</v>
      </c>
      <c r="X43" s="4">
        <v>0.58699999999999997</v>
      </c>
      <c r="Y43" s="2">
        <f t="shared" si="495"/>
        <v>65</v>
      </c>
      <c r="Z43" s="2">
        <v>0</v>
      </c>
      <c r="AA43" s="2">
        <f t="shared" ref="AA43:AC43" si="496">_xlfn.RANK.EQ(Z43, Z$7:Z$375,0)</f>
        <v>329</v>
      </c>
      <c r="AB43" s="2">
        <v>0</v>
      </c>
      <c r="AC43" s="2">
        <f t="shared" si="496"/>
        <v>360</v>
      </c>
      <c r="AD43" s="4">
        <v>0</v>
      </c>
      <c r="AE43" s="2">
        <f t="shared" ref="AE43:AG43" si="497">_xlfn.RANK.EQ(AD43, AD$7:AD$375,0)</f>
        <v>329</v>
      </c>
      <c r="AF43" s="2">
        <v>164</v>
      </c>
      <c r="AG43" s="2">
        <f t="shared" si="497"/>
        <v>27</v>
      </c>
      <c r="AH43" s="2">
        <v>229</v>
      </c>
      <c r="AI43" s="2">
        <f t="shared" ref="AI43:AK43" si="498">_xlfn.RANK.EQ(AH43, AH$7:AH$375,0)</f>
        <v>23</v>
      </c>
      <c r="AJ43" s="4">
        <v>0.71599999999999997</v>
      </c>
      <c r="AK43" s="2">
        <f t="shared" si="498"/>
        <v>189</v>
      </c>
      <c r="AL43" s="2">
        <v>204</v>
      </c>
      <c r="AM43" s="2">
        <f t="shared" ref="AM43:AO43" si="499">_xlfn.RANK.EQ(AL43, AL$7:AL$375,0)</f>
        <v>3</v>
      </c>
      <c r="AN43" s="2">
        <v>390</v>
      </c>
      <c r="AO43" s="2">
        <f t="shared" si="499"/>
        <v>2</v>
      </c>
      <c r="AP43" s="2">
        <v>594</v>
      </c>
      <c r="AQ43" s="2">
        <f t="shared" ref="AQ43:AS43" si="500">_xlfn.RANK.EQ(AP43, AP$7:AP$375,0)</f>
        <v>1</v>
      </c>
      <c r="AR43" s="2">
        <v>143</v>
      </c>
      <c r="AS43" s="2">
        <f t="shared" si="500"/>
        <v>81</v>
      </c>
      <c r="AT43" s="2">
        <v>111</v>
      </c>
      <c r="AU43" s="2">
        <f t="shared" ref="AU43:AW43" si="501">_xlfn.RANK.EQ(AT43, AT$7:AT$375,0)</f>
        <v>32</v>
      </c>
      <c r="AV43" s="2">
        <v>48</v>
      </c>
      <c r="AW43" s="2">
        <f t="shared" si="501"/>
        <v>67</v>
      </c>
      <c r="AX43" s="2">
        <v>43</v>
      </c>
      <c r="AY43" s="2">
        <f t="shared" ref="AY43:BA43" si="502">_xlfn.RANK.EQ(AX43, AX$7:AX$375,0)</f>
        <v>15</v>
      </c>
      <c r="AZ43" s="2">
        <v>24</v>
      </c>
      <c r="BA43" s="2">
        <f t="shared" si="502"/>
        <v>29</v>
      </c>
      <c r="BB43" s="2">
        <v>134</v>
      </c>
      <c r="BC43" s="2">
        <f t="shared" ref="BC43:BE43" si="503">_xlfn.RANK.EQ(BB43, BB$7:BB$375,0)</f>
        <v>47</v>
      </c>
      <c r="BD43" s="2">
        <v>287</v>
      </c>
      <c r="BE43" s="2">
        <f t="shared" si="503"/>
        <v>11</v>
      </c>
      <c r="BF43" s="2">
        <v>1367</v>
      </c>
      <c r="BG43" s="2">
        <f t="shared" ref="BG43:BI43" si="504">_xlfn.RANK.EQ(BF43, BF$7:BF$375,0)</f>
        <v>8</v>
      </c>
      <c r="BH43" s="2">
        <v>-49</v>
      </c>
      <c r="BI43" s="2">
        <f t="shared" si="504"/>
        <v>231</v>
      </c>
    </row>
    <row r="44" spans="1:61" x14ac:dyDescent="0.55000000000000004">
      <c r="A44" s="2">
        <v>38</v>
      </c>
      <c r="B44" s="2" t="s">
        <v>92</v>
      </c>
      <c r="C44" s="2" t="s">
        <v>44</v>
      </c>
      <c r="D44" s="2">
        <v>55</v>
      </c>
      <c r="E44" s="2">
        <f t="shared" si="0"/>
        <v>139</v>
      </c>
      <c r="F44" s="2">
        <v>32</v>
      </c>
      <c r="G44" s="2">
        <f t="shared" ref="G44:I44" si="505">_xlfn.RANK.EQ(F44, F$7:F$375,0)</f>
        <v>113</v>
      </c>
      <c r="H44" s="3">
        <v>55.80972222222222</v>
      </c>
      <c r="I44" s="2">
        <f t="shared" si="505"/>
        <v>81</v>
      </c>
      <c r="J44" s="3">
        <v>1.0145833333333334</v>
      </c>
      <c r="K44" s="2">
        <f t="shared" ref="K44:M44" si="506">_xlfn.RANK.EQ(J44, J$7:J$375,0)</f>
        <v>88</v>
      </c>
      <c r="L44" s="2">
        <v>806</v>
      </c>
      <c r="M44" s="2">
        <f t="shared" si="506"/>
        <v>38</v>
      </c>
      <c r="N44" s="2">
        <v>321</v>
      </c>
      <c r="O44" s="2">
        <f t="shared" ref="O44:Q44" si="507">_xlfn.RANK.EQ(N44, N$7:N$375,0)</f>
        <v>29</v>
      </c>
      <c r="P44" s="2">
        <v>642</v>
      </c>
      <c r="Q44" s="2">
        <f t="shared" si="507"/>
        <v>26</v>
      </c>
      <c r="R44" s="4">
        <v>0.5</v>
      </c>
      <c r="S44" s="2">
        <f t="shared" ref="S44:U44" si="508">_xlfn.RANK.EQ(R44, R$7:R$375,0)</f>
        <v>66</v>
      </c>
      <c r="T44" s="2">
        <v>293</v>
      </c>
      <c r="U44" s="2">
        <f t="shared" si="508"/>
        <v>10</v>
      </c>
      <c r="V44" s="2">
        <v>545</v>
      </c>
      <c r="W44" s="2">
        <f t="shared" ref="W44:Y44" si="509">_xlfn.RANK.EQ(V44, V$7:V$375,0)</f>
        <v>10</v>
      </c>
      <c r="X44" s="4">
        <v>0.53800000000000003</v>
      </c>
      <c r="Y44" s="2">
        <f t="shared" si="509"/>
        <v>128</v>
      </c>
      <c r="Z44" s="2">
        <v>28</v>
      </c>
      <c r="AA44" s="2">
        <f t="shared" ref="AA44:AC44" si="510">_xlfn.RANK.EQ(Z44, Z$7:Z$375,0)</f>
        <v>182</v>
      </c>
      <c r="AB44" s="2">
        <v>97</v>
      </c>
      <c r="AC44" s="2">
        <f t="shared" si="510"/>
        <v>175</v>
      </c>
      <c r="AD44" s="4">
        <v>0.28899999999999998</v>
      </c>
      <c r="AE44" s="2">
        <f t="shared" ref="AE44:AG44" si="511">_xlfn.RANK.EQ(AD44, AD$7:AD$375,0)</f>
        <v>232</v>
      </c>
      <c r="AF44" s="2">
        <v>136</v>
      </c>
      <c r="AG44" s="2">
        <f t="shared" si="511"/>
        <v>42</v>
      </c>
      <c r="AH44" s="2">
        <v>213</v>
      </c>
      <c r="AI44" s="2">
        <f t="shared" ref="AI44:AK44" si="512">_xlfn.RANK.EQ(AH44, AH$7:AH$375,0)</f>
        <v>28</v>
      </c>
      <c r="AJ44" s="4">
        <v>0.63800000000000001</v>
      </c>
      <c r="AK44" s="2">
        <f t="shared" si="512"/>
        <v>250</v>
      </c>
      <c r="AL44" s="2">
        <v>137</v>
      </c>
      <c r="AM44" s="2">
        <f t="shared" ref="AM44:AO44" si="513">_xlfn.RANK.EQ(AL44, AL$7:AL$375,0)</f>
        <v>19</v>
      </c>
      <c r="AN44" s="2">
        <v>271</v>
      </c>
      <c r="AO44" s="2">
        <f t="shared" si="513"/>
        <v>31</v>
      </c>
      <c r="AP44" s="2">
        <v>408</v>
      </c>
      <c r="AQ44" s="2">
        <f t="shared" ref="AQ44:AS44" si="514">_xlfn.RANK.EQ(AP44, AP$7:AP$375,0)</f>
        <v>24</v>
      </c>
      <c r="AR44" s="2">
        <v>92</v>
      </c>
      <c r="AS44" s="2">
        <f t="shared" si="514"/>
        <v>138</v>
      </c>
      <c r="AT44" s="2">
        <v>119</v>
      </c>
      <c r="AU44" s="2">
        <f t="shared" ref="AU44:AW44" si="515">_xlfn.RANK.EQ(AT44, AT$7:AT$375,0)</f>
        <v>24</v>
      </c>
      <c r="AV44" s="2">
        <v>68</v>
      </c>
      <c r="AW44" s="2">
        <f t="shared" si="515"/>
        <v>22</v>
      </c>
      <c r="AX44" s="2">
        <v>45</v>
      </c>
      <c r="AY44" s="2">
        <f t="shared" ref="AY44:BA44" si="516">_xlfn.RANK.EQ(AX44, AX$7:AX$375,0)</f>
        <v>12</v>
      </c>
      <c r="AZ44" s="2">
        <v>28</v>
      </c>
      <c r="BA44" s="2">
        <f t="shared" si="516"/>
        <v>20</v>
      </c>
      <c r="BB44" s="2">
        <v>130</v>
      </c>
      <c r="BC44" s="2">
        <f t="shared" ref="BC44:BE44" si="517">_xlfn.RANK.EQ(BB44, BB$7:BB$375,0)</f>
        <v>56</v>
      </c>
      <c r="BD44" s="2">
        <v>175</v>
      </c>
      <c r="BE44" s="2">
        <f t="shared" si="517"/>
        <v>55</v>
      </c>
      <c r="BF44" s="2">
        <v>919</v>
      </c>
      <c r="BG44" s="2">
        <f t="shared" ref="BG44:BI44" si="518">_xlfn.RANK.EQ(BF44, BF$7:BF$375,0)</f>
        <v>54</v>
      </c>
      <c r="BH44" s="2">
        <v>-264</v>
      </c>
      <c r="BI44" s="2">
        <f t="shared" si="518"/>
        <v>355</v>
      </c>
    </row>
    <row r="45" spans="1:61" x14ac:dyDescent="0.55000000000000004">
      <c r="A45" s="2">
        <v>39</v>
      </c>
      <c r="B45" s="2" t="s">
        <v>93</v>
      </c>
      <c r="C45" s="2" t="s">
        <v>64</v>
      </c>
      <c r="D45" s="2">
        <v>59</v>
      </c>
      <c r="E45" s="2">
        <f t="shared" si="0"/>
        <v>58</v>
      </c>
      <c r="F45" s="2">
        <v>54</v>
      </c>
      <c r="G45" s="2">
        <f t="shared" ref="G45:I45" si="519">_xlfn.RANK.EQ(F45, F$7:F$375,0)</f>
        <v>34</v>
      </c>
      <c r="H45" s="3">
        <v>66.285416666666663</v>
      </c>
      <c r="I45" s="2">
        <f t="shared" si="519"/>
        <v>31</v>
      </c>
      <c r="J45" s="3">
        <v>1.1229166666666666</v>
      </c>
      <c r="K45" s="2">
        <f t="shared" ref="K45:M45" si="520">_xlfn.RANK.EQ(J45, J$7:J$375,0)</f>
        <v>50</v>
      </c>
      <c r="L45" s="2">
        <v>799</v>
      </c>
      <c r="M45" s="2">
        <f t="shared" si="520"/>
        <v>39</v>
      </c>
      <c r="N45" s="2">
        <v>276</v>
      </c>
      <c r="O45" s="2">
        <f t="shared" ref="O45:Q45" si="521">_xlfn.RANK.EQ(N45, N$7:N$375,0)</f>
        <v>42</v>
      </c>
      <c r="P45" s="2">
        <v>627</v>
      </c>
      <c r="Q45" s="2">
        <f t="shared" si="521"/>
        <v>30</v>
      </c>
      <c r="R45" s="4">
        <v>0.44</v>
      </c>
      <c r="S45" s="2">
        <f t="shared" ref="S45:U45" si="522">_xlfn.RANK.EQ(R45, R$7:R$375,0)</f>
        <v>132</v>
      </c>
      <c r="T45" s="2">
        <v>179</v>
      </c>
      <c r="U45" s="2">
        <f t="shared" si="522"/>
        <v>59</v>
      </c>
      <c r="V45" s="2">
        <v>347</v>
      </c>
      <c r="W45" s="2">
        <f t="shared" ref="W45:Y45" si="523">_xlfn.RANK.EQ(V45, V$7:V$375,0)</f>
        <v>51</v>
      </c>
      <c r="X45" s="4">
        <v>0.51600000000000001</v>
      </c>
      <c r="Y45" s="2">
        <f t="shared" si="523"/>
        <v>157</v>
      </c>
      <c r="Z45" s="2">
        <v>97</v>
      </c>
      <c r="AA45" s="2">
        <f t="shared" ref="AA45:AC45" si="524">_xlfn.RANK.EQ(Z45, Z$7:Z$375,0)</f>
        <v>34</v>
      </c>
      <c r="AB45" s="2">
        <v>280</v>
      </c>
      <c r="AC45" s="2">
        <f t="shared" si="524"/>
        <v>36</v>
      </c>
      <c r="AD45" s="4">
        <v>0.34599999999999997</v>
      </c>
      <c r="AE45" s="2">
        <f t="shared" ref="AE45:AG45" si="525">_xlfn.RANK.EQ(AD45, AD$7:AD$375,0)</f>
        <v>119</v>
      </c>
      <c r="AF45" s="2">
        <v>150</v>
      </c>
      <c r="AG45" s="2">
        <f t="shared" si="525"/>
        <v>31</v>
      </c>
      <c r="AH45" s="2">
        <v>205</v>
      </c>
      <c r="AI45" s="2">
        <f t="shared" ref="AI45:AK45" si="526">_xlfn.RANK.EQ(AH45, AH$7:AH$375,0)</f>
        <v>30</v>
      </c>
      <c r="AJ45" s="4">
        <v>0.73199999999999998</v>
      </c>
      <c r="AK45" s="2">
        <f t="shared" si="526"/>
        <v>171</v>
      </c>
      <c r="AL45" s="2">
        <v>51</v>
      </c>
      <c r="AM45" s="2">
        <f t="shared" ref="AM45:AO45" si="527">_xlfn.RANK.EQ(AL45, AL$7:AL$375,0)</f>
        <v>88</v>
      </c>
      <c r="AN45" s="2">
        <v>233</v>
      </c>
      <c r="AO45" s="2">
        <f t="shared" si="527"/>
        <v>56</v>
      </c>
      <c r="AP45" s="2">
        <v>284</v>
      </c>
      <c r="AQ45" s="2">
        <f t="shared" ref="AQ45:AS45" si="528">_xlfn.RANK.EQ(AP45, AP$7:AP$375,0)</f>
        <v>65</v>
      </c>
      <c r="AR45" s="2">
        <v>131</v>
      </c>
      <c r="AS45" s="2">
        <f t="shared" si="528"/>
        <v>89</v>
      </c>
      <c r="AT45" s="2">
        <v>88</v>
      </c>
      <c r="AU45" s="2">
        <f t="shared" ref="AU45:AW45" si="529">_xlfn.RANK.EQ(AT45, AT$7:AT$375,0)</f>
        <v>64</v>
      </c>
      <c r="AV45" s="2">
        <v>49</v>
      </c>
      <c r="AW45" s="2">
        <f t="shared" si="529"/>
        <v>66</v>
      </c>
      <c r="AX45" s="2">
        <v>41</v>
      </c>
      <c r="AY45" s="2">
        <f t="shared" ref="AY45:BA45" si="530">_xlfn.RANK.EQ(AX45, AX$7:AX$375,0)</f>
        <v>18</v>
      </c>
      <c r="AZ45" s="2">
        <v>10</v>
      </c>
      <c r="BA45" s="2">
        <f t="shared" si="530"/>
        <v>144</v>
      </c>
      <c r="BB45" s="2">
        <v>47</v>
      </c>
      <c r="BC45" s="2">
        <f t="shared" ref="BC45:BE45" si="531">_xlfn.RANK.EQ(BB45, BB$7:BB$375,0)</f>
        <v>272</v>
      </c>
      <c r="BD45" s="2">
        <v>200</v>
      </c>
      <c r="BE45" s="2">
        <f t="shared" si="531"/>
        <v>41</v>
      </c>
      <c r="BF45" s="2">
        <v>952</v>
      </c>
      <c r="BG45" s="2">
        <f t="shared" ref="BG45:BI45" si="532">_xlfn.RANK.EQ(BF45, BF$7:BF$375,0)</f>
        <v>48</v>
      </c>
      <c r="BH45" s="2">
        <v>370</v>
      </c>
      <c r="BI45" s="2">
        <f t="shared" si="532"/>
        <v>12</v>
      </c>
    </row>
    <row r="46" spans="1:61" x14ac:dyDescent="0.55000000000000004">
      <c r="A46" s="2">
        <v>40</v>
      </c>
      <c r="B46" s="2" t="s">
        <v>94</v>
      </c>
      <c r="C46" s="2" t="s">
        <v>89</v>
      </c>
      <c r="D46" s="2">
        <v>60</v>
      </c>
      <c r="E46" s="2">
        <f t="shared" si="0"/>
        <v>1</v>
      </c>
      <c r="F46" s="2">
        <v>41</v>
      </c>
      <c r="G46" s="2">
        <f t="shared" ref="G46:I46" si="533">_xlfn.RANK.EQ(F46, F$7:F$375,0)</f>
        <v>80</v>
      </c>
      <c r="H46" s="3">
        <v>63.348611111111111</v>
      </c>
      <c r="I46" s="2">
        <f t="shared" si="533"/>
        <v>40</v>
      </c>
      <c r="J46" s="3">
        <v>1.0555555555555556</v>
      </c>
      <c r="K46" s="2">
        <f t="shared" ref="K46:M46" si="534">_xlfn.RANK.EQ(J46, J$7:J$375,0)</f>
        <v>73</v>
      </c>
      <c r="L46" s="2">
        <v>794</v>
      </c>
      <c r="M46" s="2">
        <f t="shared" si="534"/>
        <v>40</v>
      </c>
      <c r="N46" s="2">
        <v>292</v>
      </c>
      <c r="O46" s="2">
        <f t="shared" ref="O46:Q46" si="535">_xlfn.RANK.EQ(N46, N$7:N$375,0)</f>
        <v>40</v>
      </c>
      <c r="P46" s="2">
        <v>511</v>
      </c>
      <c r="Q46" s="2">
        <f t="shared" si="535"/>
        <v>64</v>
      </c>
      <c r="R46" s="4">
        <v>0.57099999999999995</v>
      </c>
      <c r="S46" s="2">
        <f t="shared" ref="S46:U46" si="536">_xlfn.RANK.EQ(R46, R$7:R$375,0)</f>
        <v>30</v>
      </c>
      <c r="T46" s="2">
        <v>290</v>
      </c>
      <c r="U46" s="2">
        <f t="shared" si="536"/>
        <v>13</v>
      </c>
      <c r="V46" s="2">
        <v>506</v>
      </c>
      <c r="W46" s="2">
        <f t="shared" ref="W46:Y46" si="537">_xlfn.RANK.EQ(V46, V$7:V$375,0)</f>
        <v>14</v>
      </c>
      <c r="X46" s="4">
        <v>0.57299999999999995</v>
      </c>
      <c r="Y46" s="2">
        <f t="shared" si="537"/>
        <v>79</v>
      </c>
      <c r="Z46" s="2">
        <v>2</v>
      </c>
      <c r="AA46" s="2">
        <f t="shared" ref="AA46:AC46" si="538">_xlfn.RANK.EQ(Z46, Z$7:Z$375,0)</f>
        <v>304</v>
      </c>
      <c r="AB46" s="2">
        <v>5</v>
      </c>
      <c r="AC46" s="2">
        <f t="shared" si="538"/>
        <v>320</v>
      </c>
      <c r="AD46" s="4">
        <v>0.4</v>
      </c>
      <c r="AE46" s="2">
        <f t="shared" ref="AE46:AG46" si="539">_xlfn.RANK.EQ(AD46, AD$7:AD$375,0)</f>
        <v>38</v>
      </c>
      <c r="AF46" s="2">
        <v>208</v>
      </c>
      <c r="AG46" s="2">
        <f t="shared" si="539"/>
        <v>10</v>
      </c>
      <c r="AH46" s="2">
        <v>270</v>
      </c>
      <c r="AI46" s="2">
        <f t="shared" ref="AI46:AK46" si="540">_xlfn.RANK.EQ(AH46, AH$7:AH$375,0)</f>
        <v>13</v>
      </c>
      <c r="AJ46" s="4">
        <v>0.77</v>
      </c>
      <c r="AK46" s="2">
        <f t="shared" si="540"/>
        <v>121</v>
      </c>
      <c r="AL46" s="2">
        <v>267</v>
      </c>
      <c r="AM46" s="2">
        <f t="shared" ref="AM46:AO46" si="541">_xlfn.RANK.EQ(AL46, AL$7:AL$375,0)</f>
        <v>1</v>
      </c>
      <c r="AN46" s="2">
        <v>309</v>
      </c>
      <c r="AO46" s="2">
        <f t="shared" si="541"/>
        <v>15</v>
      </c>
      <c r="AP46" s="2">
        <v>576</v>
      </c>
      <c r="AQ46" s="2">
        <f t="shared" ref="AQ46:AS46" si="542">_xlfn.RANK.EQ(AP46, AP$7:AP$375,0)</f>
        <v>2</v>
      </c>
      <c r="AR46" s="2">
        <v>106</v>
      </c>
      <c r="AS46" s="2">
        <f t="shared" si="542"/>
        <v>119</v>
      </c>
      <c r="AT46" s="2">
        <v>61</v>
      </c>
      <c r="AU46" s="2">
        <f t="shared" ref="AU46:AW46" si="543">_xlfn.RANK.EQ(AT46, AT$7:AT$375,0)</f>
        <v>119</v>
      </c>
      <c r="AV46" s="2">
        <v>46</v>
      </c>
      <c r="AW46" s="2">
        <f t="shared" si="543"/>
        <v>79</v>
      </c>
      <c r="AX46" s="2">
        <v>45</v>
      </c>
      <c r="AY46" s="2">
        <f t="shared" ref="AY46:BA46" si="544">_xlfn.RANK.EQ(AX46, AX$7:AX$375,0)</f>
        <v>12</v>
      </c>
      <c r="AZ46" s="2">
        <v>32</v>
      </c>
      <c r="BA46" s="2">
        <f t="shared" si="544"/>
        <v>15</v>
      </c>
      <c r="BB46" s="2">
        <v>123</v>
      </c>
      <c r="BC46" s="2">
        <f t="shared" ref="BC46:BE46" si="545">_xlfn.RANK.EQ(BB46, BB$7:BB$375,0)</f>
        <v>71</v>
      </c>
      <c r="BD46" s="2">
        <v>255</v>
      </c>
      <c r="BE46" s="2">
        <f t="shared" si="545"/>
        <v>18</v>
      </c>
      <c r="BF46" s="2">
        <v>1324</v>
      </c>
      <c r="BG46" s="2">
        <f t="shared" ref="BG46:BI46" si="546">_xlfn.RANK.EQ(BF46, BF$7:BF$375,0)</f>
        <v>11</v>
      </c>
      <c r="BH46" s="2">
        <v>349</v>
      </c>
      <c r="BI46" s="2">
        <f t="shared" si="546"/>
        <v>16</v>
      </c>
    </row>
    <row r="47" spans="1:61" x14ac:dyDescent="0.55000000000000004">
      <c r="A47" s="2">
        <v>41</v>
      </c>
      <c r="B47" s="2" t="s">
        <v>95</v>
      </c>
      <c r="C47" s="2" t="s">
        <v>91</v>
      </c>
      <c r="D47" s="2">
        <v>59</v>
      </c>
      <c r="E47" s="2">
        <f t="shared" si="0"/>
        <v>58</v>
      </c>
      <c r="F47" s="2">
        <v>15</v>
      </c>
      <c r="G47" s="2">
        <f t="shared" ref="G47:I47" si="547">_xlfn.RANK.EQ(F47, F$7:F$375,0)</f>
        <v>178</v>
      </c>
      <c r="H47" s="3">
        <v>60.68611111111111</v>
      </c>
      <c r="I47" s="2">
        <f t="shared" si="547"/>
        <v>52</v>
      </c>
      <c r="J47" s="3">
        <v>1.0284722222222222</v>
      </c>
      <c r="K47" s="2">
        <f t="shared" ref="K47:M47" si="548">_xlfn.RANK.EQ(J47, J$7:J$375,0)</f>
        <v>85</v>
      </c>
      <c r="L47" s="2">
        <v>788</v>
      </c>
      <c r="M47" s="2">
        <f t="shared" si="548"/>
        <v>41</v>
      </c>
      <c r="N47" s="2">
        <v>261</v>
      </c>
      <c r="O47" s="2">
        <f t="shared" ref="O47:Q47" si="549">_xlfn.RANK.EQ(N47, N$7:N$375,0)</f>
        <v>56</v>
      </c>
      <c r="P47" s="2">
        <v>589</v>
      </c>
      <c r="Q47" s="2">
        <f t="shared" si="549"/>
        <v>39</v>
      </c>
      <c r="R47" s="4">
        <v>0.443</v>
      </c>
      <c r="S47" s="2">
        <f t="shared" ref="S47:U47" si="550">_xlfn.RANK.EQ(R47, R$7:R$375,0)</f>
        <v>129</v>
      </c>
      <c r="T47" s="2">
        <v>175</v>
      </c>
      <c r="U47" s="2">
        <f t="shared" si="550"/>
        <v>61</v>
      </c>
      <c r="V47" s="2">
        <v>344</v>
      </c>
      <c r="W47" s="2">
        <f t="shared" ref="W47:Y47" si="551">_xlfn.RANK.EQ(V47, V$7:V$375,0)</f>
        <v>52</v>
      </c>
      <c r="X47" s="4">
        <v>0.50900000000000001</v>
      </c>
      <c r="Y47" s="2">
        <f t="shared" si="551"/>
        <v>169</v>
      </c>
      <c r="Z47" s="2">
        <v>86</v>
      </c>
      <c r="AA47" s="2">
        <f t="shared" ref="AA47:AC47" si="552">_xlfn.RANK.EQ(Z47, Z$7:Z$375,0)</f>
        <v>50</v>
      </c>
      <c r="AB47" s="2">
        <v>245</v>
      </c>
      <c r="AC47" s="2">
        <f t="shared" si="552"/>
        <v>48</v>
      </c>
      <c r="AD47" s="4">
        <v>0.35099999999999998</v>
      </c>
      <c r="AE47" s="2">
        <f t="shared" ref="AE47:AG47" si="553">_xlfn.RANK.EQ(AD47, AD$7:AD$375,0)</f>
        <v>114</v>
      </c>
      <c r="AF47" s="2">
        <v>180</v>
      </c>
      <c r="AG47" s="2">
        <f t="shared" si="553"/>
        <v>19</v>
      </c>
      <c r="AH47" s="2">
        <v>224</v>
      </c>
      <c r="AI47" s="2">
        <f t="shared" ref="AI47:AK47" si="554">_xlfn.RANK.EQ(AH47, AH$7:AH$375,0)</f>
        <v>24</v>
      </c>
      <c r="AJ47" s="4">
        <v>0.80400000000000005</v>
      </c>
      <c r="AK47" s="2">
        <f t="shared" si="554"/>
        <v>83</v>
      </c>
      <c r="AL47" s="2">
        <v>76</v>
      </c>
      <c r="AM47" s="2">
        <f t="shared" ref="AM47:AO47" si="555">_xlfn.RANK.EQ(AL47, AL$7:AL$375,0)</f>
        <v>52</v>
      </c>
      <c r="AN47" s="2">
        <v>192</v>
      </c>
      <c r="AO47" s="2">
        <f t="shared" si="555"/>
        <v>70</v>
      </c>
      <c r="AP47" s="2">
        <v>268</v>
      </c>
      <c r="AQ47" s="2">
        <f t="shared" ref="AQ47:AS47" si="556">_xlfn.RANK.EQ(AP47, AP$7:AP$375,0)</f>
        <v>71</v>
      </c>
      <c r="AR47" s="2">
        <v>107</v>
      </c>
      <c r="AS47" s="2">
        <f t="shared" si="556"/>
        <v>118</v>
      </c>
      <c r="AT47" s="2">
        <v>122</v>
      </c>
      <c r="AU47" s="2">
        <f t="shared" ref="AU47:AW47" si="557">_xlfn.RANK.EQ(AT47, AT$7:AT$375,0)</f>
        <v>21</v>
      </c>
      <c r="AV47" s="2">
        <v>59</v>
      </c>
      <c r="AW47" s="2">
        <f t="shared" si="557"/>
        <v>34</v>
      </c>
      <c r="AX47" s="2">
        <v>33</v>
      </c>
      <c r="AY47" s="2">
        <f t="shared" ref="AY47:BA47" si="558">_xlfn.RANK.EQ(AX47, AX$7:AX$375,0)</f>
        <v>35</v>
      </c>
      <c r="AZ47" s="2">
        <v>20</v>
      </c>
      <c r="BA47" s="2">
        <f t="shared" si="558"/>
        <v>46</v>
      </c>
      <c r="BB47" s="2">
        <v>117</v>
      </c>
      <c r="BC47" s="2">
        <f t="shared" ref="BC47:BE47" si="559">_xlfn.RANK.EQ(BB47, BB$7:BB$375,0)</f>
        <v>91</v>
      </c>
      <c r="BD47" s="2">
        <v>203</v>
      </c>
      <c r="BE47" s="2">
        <f t="shared" si="559"/>
        <v>38</v>
      </c>
      <c r="BF47" s="2">
        <v>824</v>
      </c>
      <c r="BG47" s="2">
        <f t="shared" ref="BG47:BI47" si="560">_xlfn.RANK.EQ(BF47, BF$7:BF$375,0)</f>
        <v>60</v>
      </c>
      <c r="BH47" s="2">
        <v>-315</v>
      </c>
      <c r="BI47" s="2">
        <f t="shared" si="560"/>
        <v>362</v>
      </c>
    </row>
    <row r="48" spans="1:61" x14ac:dyDescent="0.55000000000000004">
      <c r="A48" s="2">
        <v>42</v>
      </c>
      <c r="B48" s="2" t="s">
        <v>96</v>
      </c>
      <c r="C48" s="2" t="s">
        <v>86</v>
      </c>
      <c r="D48" s="2">
        <v>60</v>
      </c>
      <c r="E48" s="2">
        <f t="shared" si="0"/>
        <v>1</v>
      </c>
      <c r="F48" s="2">
        <v>39</v>
      </c>
      <c r="G48" s="2">
        <f t="shared" ref="G48:I48" si="561">_xlfn.RANK.EQ(F48, F$7:F$375,0)</f>
        <v>86</v>
      </c>
      <c r="H48" s="3">
        <v>59.546527777777776</v>
      </c>
      <c r="I48" s="2">
        <f t="shared" si="561"/>
        <v>56</v>
      </c>
      <c r="J48" s="5">
        <v>0.99236111111111114</v>
      </c>
      <c r="K48" s="2">
        <f t="shared" ref="K48:M48" si="562">_xlfn.RANK.EQ(J48, J$7:J$375,0)</f>
        <v>97</v>
      </c>
      <c r="L48" s="2">
        <v>787</v>
      </c>
      <c r="M48" s="2">
        <f t="shared" si="562"/>
        <v>42</v>
      </c>
      <c r="N48" s="2">
        <v>323</v>
      </c>
      <c r="O48" s="2">
        <f t="shared" ref="O48:Q48" si="563">_xlfn.RANK.EQ(N48, N$7:N$375,0)</f>
        <v>28</v>
      </c>
      <c r="P48" s="2">
        <v>604</v>
      </c>
      <c r="Q48" s="2">
        <f t="shared" si="563"/>
        <v>36</v>
      </c>
      <c r="R48" s="4">
        <v>0.53500000000000003</v>
      </c>
      <c r="S48" s="2">
        <f t="shared" ref="S48:U48" si="564">_xlfn.RANK.EQ(R48, R$7:R$375,0)</f>
        <v>45</v>
      </c>
      <c r="T48" s="2">
        <v>252</v>
      </c>
      <c r="U48" s="2">
        <f t="shared" si="564"/>
        <v>28</v>
      </c>
      <c r="V48" s="2">
        <v>422</v>
      </c>
      <c r="W48" s="2">
        <f t="shared" ref="W48:Y48" si="565">_xlfn.RANK.EQ(V48, V$7:V$375,0)</f>
        <v>29</v>
      </c>
      <c r="X48" s="4">
        <v>0.59699999999999998</v>
      </c>
      <c r="Y48" s="2">
        <f t="shared" si="565"/>
        <v>56</v>
      </c>
      <c r="Z48" s="2">
        <v>71</v>
      </c>
      <c r="AA48" s="2">
        <f t="shared" ref="AA48:AC48" si="566">_xlfn.RANK.EQ(Z48, Z$7:Z$375,0)</f>
        <v>74</v>
      </c>
      <c r="AB48" s="2">
        <v>182</v>
      </c>
      <c r="AC48" s="2">
        <f t="shared" si="566"/>
        <v>96</v>
      </c>
      <c r="AD48" s="4">
        <v>0.39</v>
      </c>
      <c r="AE48" s="2">
        <f t="shared" ref="AE48:AG48" si="567">_xlfn.RANK.EQ(AD48, AD$7:AD$375,0)</f>
        <v>51</v>
      </c>
      <c r="AF48" s="2">
        <v>70</v>
      </c>
      <c r="AG48" s="2">
        <f t="shared" si="567"/>
        <v>98</v>
      </c>
      <c r="AH48" s="2">
        <v>100</v>
      </c>
      <c r="AI48" s="2">
        <f t="shared" ref="AI48:AK48" si="568">_xlfn.RANK.EQ(AH48, AH$7:AH$375,0)</f>
        <v>93</v>
      </c>
      <c r="AJ48" s="4">
        <v>0.7</v>
      </c>
      <c r="AK48" s="2">
        <f t="shared" si="568"/>
        <v>202</v>
      </c>
      <c r="AL48" s="2">
        <v>131</v>
      </c>
      <c r="AM48" s="2">
        <f t="shared" ref="AM48:AO48" si="569">_xlfn.RANK.EQ(AL48, AL$7:AL$375,0)</f>
        <v>21</v>
      </c>
      <c r="AN48" s="2">
        <v>369</v>
      </c>
      <c r="AO48" s="2">
        <f t="shared" si="569"/>
        <v>6</v>
      </c>
      <c r="AP48" s="2">
        <v>500</v>
      </c>
      <c r="AQ48" s="2">
        <f t="shared" ref="AQ48:AS48" si="570">_xlfn.RANK.EQ(AP48, AP$7:AP$375,0)</f>
        <v>7</v>
      </c>
      <c r="AR48" s="2">
        <v>100</v>
      </c>
      <c r="AS48" s="2">
        <f t="shared" si="570"/>
        <v>129</v>
      </c>
      <c r="AT48" s="2">
        <v>76</v>
      </c>
      <c r="AU48" s="2">
        <f t="shared" ref="AU48:AW48" si="571">_xlfn.RANK.EQ(AT48, AT$7:AT$375,0)</f>
        <v>88</v>
      </c>
      <c r="AV48" s="2">
        <v>25</v>
      </c>
      <c r="AW48" s="2">
        <f t="shared" si="571"/>
        <v>175</v>
      </c>
      <c r="AX48" s="2">
        <v>36</v>
      </c>
      <c r="AY48" s="2">
        <f t="shared" ref="AY48:BA48" si="572">_xlfn.RANK.EQ(AX48, AX$7:AX$375,0)</f>
        <v>32</v>
      </c>
      <c r="AZ48" s="2">
        <v>10</v>
      </c>
      <c r="BA48" s="2">
        <f t="shared" si="572"/>
        <v>144</v>
      </c>
      <c r="BB48" s="2">
        <v>111</v>
      </c>
      <c r="BC48" s="2">
        <f t="shared" ref="BC48:BE48" si="573">_xlfn.RANK.EQ(BB48, BB$7:BB$375,0)</f>
        <v>107</v>
      </c>
      <c r="BD48" s="2">
        <v>98</v>
      </c>
      <c r="BE48" s="2">
        <f t="shared" si="573"/>
        <v>114</v>
      </c>
      <c r="BF48" s="2">
        <v>1038</v>
      </c>
      <c r="BG48" s="2">
        <f t="shared" ref="BG48:BI48" si="574">_xlfn.RANK.EQ(BF48, BF$7:BF$375,0)</f>
        <v>34</v>
      </c>
      <c r="BH48" s="2">
        <v>-225</v>
      </c>
      <c r="BI48" s="2">
        <f t="shared" si="574"/>
        <v>345</v>
      </c>
    </row>
    <row r="49" spans="1:61" x14ac:dyDescent="0.55000000000000004">
      <c r="A49" s="2">
        <v>43</v>
      </c>
      <c r="B49" s="2" t="s">
        <v>97</v>
      </c>
      <c r="C49" s="2" t="s">
        <v>62</v>
      </c>
      <c r="D49" s="2">
        <v>59</v>
      </c>
      <c r="E49" s="2">
        <f t="shared" si="0"/>
        <v>58</v>
      </c>
      <c r="F49" s="2">
        <v>54</v>
      </c>
      <c r="G49" s="2">
        <f t="shared" ref="G49:I49" si="575">_xlfn.RANK.EQ(F49, F$7:F$375,0)</f>
        <v>34</v>
      </c>
      <c r="H49" s="3">
        <v>69.02847222222222</v>
      </c>
      <c r="I49" s="2">
        <f t="shared" si="575"/>
        <v>23</v>
      </c>
      <c r="J49" s="3">
        <v>1.1694444444444445</v>
      </c>
      <c r="K49" s="2">
        <f t="shared" ref="K49:M49" si="576">_xlfn.RANK.EQ(J49, J$7:J$375,0)</f>
        <v>35</v>
      </c>
      <c r="L49" s="2">
        <v>783</v>
      </c>
      <c r="M49" s="2">
        <f t="shared" si="576"/>
        <v>43</v>
      </c>
      <c r="N49" s="2">
        <v>289</v>
      </c>
      <c r="O49" s="2">
        <f t="shared" ref="O49:Q49" si="577">_xlfn.RANK.EQ(N49, N$7:N$375,0)</f>
        <v>41</v>
      </c>
      <c r="P49" s="2">
        <v>589</v>
      </c>
      <c r="Q49" s="2">
        <f t="shared" si="577"/>
        <v>39</v>
      </c>
      <c r="R49" s="4">
        <v>0.49099999999999999</v>
      </c>
      <c r="S49" s="2">
        <f t="shared" ref="S49:U49" si="578">_xlfn.RANK.EQ(R49, R$7:R$375,0)</f>
        <v>77</v>
      </c>
      <c r="T49" s="2">
        <v>224</v>
      </c>
      <c r="U49" s="2">
        <f t="shared" si="578"/>
        <v>39</v>
      </c>
      <c r="V49" s="2">
        <v>402</v>
      </c>
      <c r="W49" s="2">
        <f t="shared" ref="W49:Y49" si="579">_xlfn.RANK.EQ(V49, V$7:V$375,0)</f>
        <v>35</v>
      </c>
      <c r="X49" s="4">
        <v>0.55700000000000005</v>
      </c>
      <c r="Y49" s="2">
        <f t="shared" si="579"/>
        <v>104</v>
      </c>
      <c r="Z49" s="2">
        <v>65</v>
      </c>
      <c r="AA49" s="2">
        <f t="shared" ref="AA49:AC49" si="580">_xlfn.RANK.EQ(Z49, Z$7:Z$375,0)</f>
        <v>84</v>
      </c>
      <c r="AB49" s="2">
        <v>187</v>
      </c>
      <c r="AC49" s="2">
        <f t="shared" si="580"/>
        <v>86</v>
      </c>
      <c r="AD49" s="4">
        <v>0.34799999999999998</v>
      </c>
      <c r="AE49" s="2">
        <f t="shared" ref="AE49:AG49" si="581">_xlfn.RANK.EQ(AD49, AD$7:AD$375,0)</f>
        <v>117</v>
      </c>
      <c r="AF49" s="2">
        <v>140</v>
      </c>
      <c r="AG49" s="2">
        <f t="shared" si="581"/>
        <v>36</v>
      </c>
      <c r="AH49" s="2">
        <v>179</v>
      </c>
      <c r="AI49" s="2">
        <f t="shared" ref="AI49:AK49" si="582">_xlfn.RANK.EQ(AH49, AH$7:AH$375,0)</f>
        <v>45</v>
      </c>
      <c r="AJ49" s="4">
        <v>0.78200000000000003</v>
      </c>
      <c r="AK49" s="2">
        <f t="shared" si="582"/>
        <v>110</v>
      </c>
      <c r="AL49" s="2">
        <v>123</v>
      </c>
      <c r="AM49" s="2">
        <f t="shared" ref="AM49:AO49" si="583">_xlfn.RANK.EQ(AL49, AL$7:AL$375,0)</f>
        <v>26</v>
      </c>
      <c r="AN49" s="2">
        <v>289</v>
      </c>
      <c r="AO49" s="2">
        <f t="shared" si="583"/>
        <v>24</v>
      </c>
      <c r="AP49" s="2">
        <v>412</v>
      </c>
      <c r="AQ49" s="2">
        <f t="shared" ref="AQ49:AS49" si="584">_xlfn.RANK.EQ(AP49, AP$7:AP$375,0)</f>
        <v>23</v>
      </c>
      <c r="AR49" s="2">
        <v>180</v>
      </c>
      <c r="AS49" s="2">
        <f t="shared" si="584"/>
        <v>52</v>
      </c>
      <c r="AT49" s="2">
        <v>109</v>
      </c>
      <c r="AU49" s="2">
        <f t="shared" ref="AU49:AW49" si="585">_xlfn.RANK.EQ(AT49, AT$7:AT$375,0)</f>
        <v>36</v>
      </c>
      <c r="AV49" s="2">
        <v>46</v>
      </c>
      <c r="AW49" s="2">
        <f t="shared" si="585"/>
        <v>79</v>
      </c>
      <c r="AX49" s="2">
        <v>21</v>
      </c>
      <c r="AY49" s="2">
        <f t="shared" ref="AY49:BA49" si="586">_xlfn.RANK.EQ(AX49, AX$7:AX$375,0)</f>
        <v>63</v>
      </c>
      <c r="AZ49" s="2">
        <v>19</v>
      </c>
      <c r="BA49" s="2">
        <f t="shared" si="586"/>
        <v>52</v>
      </c>
      <c r="BB49" s="2">
        <v>109</v>
      </c>
      <c r="BC49" s="2">
        <f t="shared" ref="BC49:BE49" si="587">_xlfn.RANK.EQ(BB49, BB$7:BB$375,0)</f>
        <v>112</v>
      </c>
      <c r="BD49" s="2">
        <v>171</v>
      </c>
      <c r="BE49" s="2">
        <f t="shared" si="587"/>
        <v>58</v>
      </c>
      <c r="BF49" s="2">
        <v>1036</v>
      </c>
      <c r="BG49" s="2">
        <f t="shared" ref="BG49:BI49" si="588">_xlfn.RANK.EQ(BF49, BF$7:BF$375,0)</f>
        <v>36</v>
      </c>
      <c r="BH49" s="2">
        <v>-185</v>
      </c>
      <c r="BI49" s="2">
        <f t="shared" si="588"/>
        <v>337</v>
      </c>
    </row>
    <row r="50" spans="1:61" x14ac:dyDescent="0.55000000000000004">
      <c r="A50" s="2">
        <v>44</v>
      </c>
      <c r="B50" s="2" t="s">
        <v>98</v>
      </c>
      <c r="C50" s="2" t="s">
        <v>74</v>
      </c>
      <c r="D50" s="2">
        <v>59</v>
      </c>
      <c r="E50" s="2">
        <f t="shared" si="0"/>
        <v>58</v>
      </c>
      <c r="F50" s="2">
        <v>58</v>
      </c>
      <c r="G50" s="2">
        <f t="shared" ref="G50:I50" si="589">_xlfn.RANK.EQ(F50, F$7:F$375,0)</f>
        <v>20</v>
      </c>
      <c r="H50" s="3">
        <v>72.488888888888894</v>
      </c>
      <c r="I50" s="2">
        <f t="shared" si="589"/>
        <v>12</v>
      </c>
      <c r="J50" s="3">
        <v>1.2284722222222222</v>
      </c>
      <c r="K50" s="2">
        <f t="shared" ref="K50:M50" si="590">_xlfn.RANK.EQ(J50, J$7:J$375,0)</f>
        <v>19</v>
      </c>
      <c r="L50" s="2">
        <v>781</v>
      </c>
      <c r="M50" s="2">
        <f t="shared" si="590"/>
        <v>44</v>
      </c>
      <c r="N50" s="2">
        <v>298</v>
      </c>
      <c r="O50" s="2">
        <f t="shared" ref="O50:Q50" si="591">_xlfn.RANK.EQ(N50, N$7:N$375,0)</f>
        <v>37</v>
      </c>
      <c r="P50" s="2">
        <v>502</v>
      </c>
      <c r="Q50" s="2">
        <f t="shared" si="591"/>
        <v>67</v>
      </c>
      <c r="R50" s="4">
        <v>0.59399999999999997</v>
      </c>
      <c r="S50" s="2">
        <f t="shared" ref="S50:U50" si="592">_xlfn.RANK.EQ(R50, R$7:R$375,0)</f>
        <v>18</v>
      </c>
      <c r="T50" s="2">
        <v>287</v>
      </c>
      <c r="U50" s="2">
        <f t="shared" si="592"/>
        <v>15</v>
      </c>
      <c r="V50" s="2">
        <v>456</v>
      </c>
      <c r="W50" s="2">
        <f t="shared" ref="W50:Y50" si="593">_xlfn.RANK.EQ(V50, V$7:V$375,0)</f>
        <v>19</v>
      </c>
      <c r="X50" s="4">
        <v>0.629</v>
      </c>
      <c r="Y50" s="2">
        <f t="shared" si="593"/>
        <v>34</v>
      </c>
      <c r="Z50" s="2">
        <v>11</v>
      </c>
      <c r="AA50" s="2">
        <f t="shared" ref="AA50:AC50" si="594">_xlfn.RANK.EQ(Z50, Z$7:Z$375,0)</f>
        <v>251</v>
      </c>
      <c r="AB50" s="2">
        <v>46</v>
      </c>
      <c r="AC50" s="2">
        <f t="shared" si="594"/>
        <v>243</v>
      </c>
      <c r="AD50" s="4">
        <v>0.23899999999999999</v>
      </c>
      <c r="AE50" s="2">
        <f t="shared" ref="AE50:AG50" si="595">_xlfn.RANK.EQ(AD50, AD$7:AD$375,0)</f>
        <v>277</v>
      </c>
      <c r="AF50" s="2">
        <v>174</v>
      </c>
      <c r="AG50" s="2">
        <f t="shared" si="595"/>
        <v>22</v>
      </c>
      <c r="AH50" s="2">
        <v>263</v>
      </c>
      <c r="AI50" s="2">
        <f t="shared" ref="AI50:AK50" si="596">_xlfn.RANK.EQ(AH50, AH$7:AH$375,0)</f>
        <v>16</v>
      </c>
      <c r="AJ50" s="4">
        <v>0.66200000000000003</v>
      </c>
      <c r="AK50" s="2">
        <f t="shared" si="596"/>
        <v>239</v>
      </c>
      <c r="AL50" s="2">
        <v>176</v>
      </c>
      <c r="AM50" s="2">
        <f t="shared" ref="AM50:AO50" si="597">_xlfn.RANK.EQ(AL50, AL$7:AL$375,0)</f>
        <v>7</v>
      </c>
      <c r="AN50" s="2">
        <v>371</v>
      </c>
      <c r="AO50" s="2">
        <f t="shared" si="597"/>
        <v>5</v>
      </c>
      <c r="AP50" s="2">
        <v>547</v>
      </c>
      <c r="AQ50" s="2">
        <f t="shared" ref="AQ50:AS50" si="598">_xlfn.RANK.EQ(AP50, AP$7:AP$375,0)</f>
        <v>4</v>
      </c>
      <c r="AR50" s="2">
        <v>169</v>
      </c>
      <c r="AS50" s="2">
        <f t="shared" si="598"/>
        <v>59</v>
      </c>
      <c r="AT50" s="2">
        <v>115</v>
      </c>
      <c r="AU50" s="2">
        <f t="shared" ref="AU50:AW50" si="599">_xlfn.RANK.EQ(AT50, AT$7:AT$375,0)</f>
        <v>26</v>
      </c>
      <c r="AV50" s="2">
        <v>47</v>
      </c>
      <c r="AW50" s="2">
        <f t="shared" si="599"/>
        <v>73</v>
      </c>
      <c r="AX50" s="2">
        <v>31</v>
      </c>
      <c r="AY50" s="2">
        <f t="shared" ref="AY50:BA50" si="600">_xlfn.RANK.EQ(AX50, AX$7:AX$375,0)</f>
        <v>37</v>
      </c>
      <c r="AZ50" s="2">
        <v>27</v>
      </c>
      <c r="BA50" s="2">
        <f t="shared" si="600"/>
        <v>21</v>
      </c>
      <c r="BB50" s="2">
        <v>133</v>
      </c>
      <c r="BC50" s="2">
        <f t="shared" ref="BC50:BE50" si="601">_xlfn.RANK.EQ(BB50, BB$7:BB$375,0)</f>
        <v>50</v>
      </c>
      <c r="BD50" s="2">
        <v>246</v>
      </c>
      <c r="BE50" s="2">
        <f t="shared" si="601"/>
        <v>20</v>
      </c>
      <c r="BF50" s="2">
        <v>1253</v>
      </c>
      <c r="BG50" s="2">
        <f t="shared" ref="BG50:BI50" si="602">_xlfn.RANK.EQ(BF50, BF$7:BF$375,0)</f>
        <v>17</v>
      </c>
      <c r="BH50" s="2">
        <v>-158</v>
      </c>
      <c r="BI50" s="2">
        <f t="shared" si="602"/>
        <v>323</v>
      </c>
    </row>
    <row r="51" spans="1:61" x14ac:dyDescent="0.55000000000000004">
      <c r="A51" s="2">
        <v>45</v>
      </c>
      <c r="B51" s="2" t="s">
        <v>99</v>
      </c>
      <c r="C51" s="2" t="s">
        <v>42</v>
      </c>
      <c r="D51" s="2">
        <v>51</v>
      </c>
      <c r="E51" s="2">
        <f t="shared" si="0"/>
        <v>183</v>
      </c>
      <c r="F51" s="2">
        <v>44</v>
      </c>
      <c r="G51" s="2">
        <f t="shared" ref="G51:I51" si="603">_xlfn.RANK.EQ(F51, F$7:F$375,0)</f>
        <v>67</v>
      </c>
      <c r="H51" s="3">
        <v>53.84513888888889</v>
      </c>
      <c r="I51" s="2">
        <f t="shared" si="603"/>
        <v>94</v>
      </c>
      <c r="J51" s="3">
        <v>1.0555555555555556</v>
      </c>
      <c r="K51" s="2">
        <f t="shared" ref="K51:M51" si="604">_xlfn.RANK.EQ(J51, J$7:J$375,0)</f>
        <v>73</v>
      </c>
      <c r="L51" s="2">
        <v>771</v>
      </c>
      <c r="M51" s="2">
        <f t="shared" si="604"/>
        <v>45</v>
      </c>
      <c r="N51" s="2">
        <v>316</v>
      </c>
      <c r="O51" s="2">
        <f t="shared" ref="O51:Q51" si="605">_xlfn.RANK.EQ(N51, N$7:N$375,0)</f>
        <v>33</v>
      </c>
      <c r="P51" s="2">
        <v>514</v>
      </c>
      <c r="Q51" s="2">
        <f t="shared" si="605"/>
        <v>61</v>
      </c>
      <c r="R51" s="4">
        <v>0.61499999999999999</v>
      </c>
      <c r="S51" s="2">
        <f t="shared" ref="S51:U51" si="606">_xlfn.RANK.EQ(R51, R$7:R$375,0)</f>
        <v>10</v>
      </c>
      <c r="T51" s="2">
        <v>293</v>
      </c>
      <c r="U51" s="2">
        <f t="shared" si="606"/>
        <v>10</v>
      </c>
      <c r="V51" s="2">
        <v>431</v>
      </c>
      <c r="W51" s="2">
        <f t="shared" ref="W51:Y51" si="607">_xlfn.RANK.EQ(V51, V$7:V$375,0)</f>
        <v>24</v>
      </c>
      <c r="X51" s="4">
        <v>0.68</v>
      </c>
      <c r="Y51" s="2">
        <f t="shared" si="607"/>
        <v>11</v>
      </c>
      <c r="Z51" s="2">
        <v>23</v>
      </c>
      <c r="AA51" s="2">
        <f t="shared" ref="AA51:AC51" si="608">_xlfn.RANK.EQ(Z51, Z$7:Z$375,0)</f>
        <v>200</v>
      </c>
      <c r="AB51" s="2">
        <v>83</v>
      </c>
      <c r="AC51" s="2">
        <f t="shared" si="608"/>
        <v>190</v>
      </c>
      <c r="AD51" s="4">
        <v>0.27700000000000002</v>
      </c>
      <c r="AE51" s="2">
        <f t="shared" ref="AE51:AG51" si="609">_xlfn.RANK.EQ(AD51, AD$7:AD$375,0)</f>
        <v>248</v>
      </c>
      <c r="AF51" s="2">
        <v>116</v>
      </c>
      <c r="AG51" s="2">
        <f t="shared" si="609"/>
        <v>59</v>
      </c>
      <c r="AH51" s="2">
        <v>184</v>
      </c>
      <c r="AI51" s="2">
        <f t="shared" ref="AI51:AK51" si="610">_xlfn.RANK.EQ(AH51, AH$7:AH$375,0)</f>
        <v>40</v>
      </c>
      <c r="AJ51" s="4">
        <v>0.63</v>
      </c>
      <c r="AK51" s="2">
        <f t="shared" si="610"/>
        <v>256</v>
      </c>
      <c r="AL51" s="2">
        <v>144</v>
      </c>
      <c r="AM51" s="2">
        <f t="shared" ref="AM51:AO51" si="611">_xlfn.RANK.EQ(AL51, AL$7:AL$375,0)</f>
        <v>17</v>
      </c>
      <c r="AN51" s="2">
        <v>194</v>
      </c>
      <c r="AO51" s="2">
        <f t="shared" si="611"/>
        <v>69</v>
      </c>
      <c r="AP51" s="2">
        <v>338</v>
      </c>
      <c r="AQ51" s="2">
        <f t="shared" ref="AQ51:AS51" si="612">_xlfn.RANK.EQ(AP51, AP$7:AP$375,0)</f>
        <v>47</v>
      </c>
      <c r="AR51" s="2">
        <v>111</v>
      </c>
      <c r="AS51" s="2">
        <f t="shared" si="612"/>
        <v>111</v>
      </c>
      <c r="AT51" s="2">
        <v>52</v>
      </c>
      <c r="AU51" s="2">
        <f t="shared" ref="AU51:AW51" si="613">_xlfn.RANK.EQ(AT51, AT$7:AT$375,0)</f>
        <v>142</v>
      </c>
      <c r="AV51" s="2">
        <v>28</v>
      </c>
      <c r="AW51" s="2">
        <f t="shared" si="613"/>
        <v>156</v>
      </c>
      <c r="AX51" s="2">
        <v>6</v>
      </c>
      <c r="AY51" s="2">
        <f t="shared" ref="AY51:BA51" si="614">_xlfn.RANK.EQ(AX51, AX$7:AX$375,0)</f>
        <v>156</v>
      </c>
      <c r="AZ51" s="2">
        <v>17</v>
      </c>
      <c r="BA51" s="2">
        <f t="shared" si="614"/>
        <v>66</v>
      </c>
      <c r="BB51" s="2">
        <v>98</v>
      </c>
      <c r="BC51" s="2">
        <f t="shared" ref="BC51:BE51" si="615">_xlfn.RANK.EQ(BB51, BB$7:BB$375,0)</f>
        <v>144</v>
      </c>
      <c r="BD51" s="2">
        <v>208</v>
      </c>
      <c r="BE51" s="2">
        <f t="shared" si="615"/>
        <v>33</v>
      </c>
      <c r="BF51" s="2">
        <v>1029</v>
      </c>
      <c r="BG51" s="2">
        <f t="shared" ref="BG51:BI51" si="616">_xlfn.RANK.EQ(BF51, BF$7:BF$375,0)</f>
        <v>37</v>
      </c>
      <c r="BH51" s="2">
        <v>199</v>
      </c>
      <c r="BI51" s="2">
        <f t="shared" si="616"/>
        <v>47</v>
      </c>
    </row>
    <row r="52" spans="1:61" x14ac:dyDescent="0.55000000000000004">
      <c r="A52" s="2">
        <v>46</v>
      </c>
      <c r="B52" s="2" t="s">
        <v>100</v>
      </c>
      <c r="C52" s="2" t="s">
        <v>57</v>
      </c>
      <c r="D52" s="2">
        <v>50</v>
      </c>
      <c r="E52" s="2">
        <f t="shared" si="0"/>
        <v>191</v>
      </c>
      <c r="F52" s="2">
        <v>17</v>
      </c>
      <c r="G52" s="2">
        <f t="shared" ref="G52:I52" si="617">_xlfn.RANK.EQ(F52, F$7:F$375,0)</f>
        <v>166</v>
      </c>
      <c r="H52" s="3">
        <v>52.53263888888889</v>
      </c>
      <c r="I52" s="2">
        <f t="shared" si="617"/>
        <v>101</v>
      </c>
      <c r="J52" s="3">
        <v>1.05</v>
      </c>
      <c r="K52" s="2">
        <f t="shared" ref="K52:M52" si="618">_xlfn.RANK.EQ(J52, J$7:J$375,0)</f>
        <v>76</v>
      </c>
      <c r="L52" s="2">
        <v>768</v>
      </c>
      <c r="M52" s="2">
        <f t="shared" si="618"/>
        <v>46</v>
      </c>
      <c r="N52" s="2">
        <v>268</v>
      </c>
      <c r="O52" s="2">
        <f t="shared" ref="O52:Q52" si="619">_xlfn.RANK.EQ(N52, N$7:N$375,0)</f>
        <v>48</v>
      </c>
      <c r="P52" s="2">
        <v>555</v>
      </c>
      <c r="Q52" s="2">
        <f t="shared" si="619"/>
        <v>51</v>
      </c>
      <c r="R52" s="4">
        <v>0.48299999999999998</v>
      </c>
      <c r="S52" s="2">
        <f t="shared" ref="S52:U52" si="620">_xlfn.RANK.EQ(R52, R$7:R$375,0)</f>
        <v>84</v>
      </c>
      <c r="T52" s="2">
        <v>188</v>
      </c>
      <c r="U52" s="2">
        <f t="shared" si="620"/>
        <v>55</v>
      </c>
      <c r="V52" s="2">
        <v>344</v>
      </c>
      <c r="W52" s="2">
        <f t="shared" ref="W52:Y52" si="621">_xlfn.RANK.EQ(V52, V$7:V$375,0)</f>
        <v>52</v>
      </c>
      <c r="X52" s="4">
        <v>0.54700000000000004</v>
      </c>
      <c r="Y52" s="2">
        <f t="shared" si="621"/>
        <v>114</v>
      </c>
      <c r="Z52" s="2">
        <v>80</v>
      </c>
      <c r="AA52" s="2">
        <f t="shared" ref="AA52:AC52" si="622">_xlfn.RANK.EQ(Z52, Z$7:Z$375,0)</f>
        <v>60</v>
      </c>
      <c r="AB52" s="2">
        <v>211</v>
      </c>
      <c r="AC52" s="2">
        <f t="shared" si="622"/>
        <v>69</v>
      </c>
      <c r="AD52" s="4">
        <v>0.379</v>
      </c>
      <c r="AE52" s="2">
        <f t="shared" ref="AE52:AG52" si="623">_xlfn.RANK.EQ(AD52, AD$7:AD$375,0)</f>
        <v>65</v>
      </c>
      <c r="AF52" s="2">
        <v>152</v>
      </c>
      <c r="AG52" s="2">
        <f t="shared" si="623"/>
        <v>30</v>
      </c>
      <c r="AH52" s="2">
        <v>181</v>
      </c>
      <c r="AI52" s="2">
        <f t="shared" ref="AI52:AK52" si="624">_xlfn.RANK.EQ(AH52, AH$7:AH$375,0)</f>
        <v>42</v>
      </c>
      <c r="AJ52" s="4">
        <v>0.84</v>
      </c>
      <c r="AK52" s="2">
        <f t="shared" si="624"/>
        <v>43</v>
      </c>
      <c r="AL52" s="2">
        <v>46</v>
      </c>
      <c r="AM52" s="2">
        <f t="shared" ref="AM52:AO52" si="625">_xlfn.RANK.EQ(AL52, AL$7:AL$375,0)</f>
        <v>100</v>
      </c>
      <c r="AN52" s="2">
        <v>248</v>
      </c>
      <c r="AO52" s="2">
        <f t="shared" si="625"/>
        <v>44</v>
      </c>
      <c r="AP52" s="2">
        <v>294</v>
      </c>
      <c r="AQ52" s="2">
        <f t="shared" ref="AQ52:AS52" si="626">_xlfn.RANK.EQ(AP52, AP$7:AP$375,0)</f>
        <v>63</v>
      </c>
      <c r="AR52" s="2">
        <v>165</v>
      </c>
      <c r="AS52" s="2">
        <f t="shared" si="626"/>
        <v>62</v>
      </c>
      <c r="AT52" s="2">
        <v>92</v>
      </c>
      <c r="AU52" s="2">
        <f t="shared" ref="AU52:AW52" si="627">_xlfn.RANK.EQ(AT52, AT$7:AT$375,0)</f>
        <v>59</v>
      </c>
      <c r="AV52" s="2">
        <v>48</v>
      </c>
      <c r="AW52" s="2">
        <f t="shared" si="627"/>
        <v>67</v>
      </c>
      <c r="AX52" s="2">
        <v>7</v>
      </c>
      <c r="AY52" s="2">
        <f t="shared" ref="AY52:BA52" si="628">_xlfn.RANK.EQ(AX52, AX$7:AX$375,0)</f>
        <v>138</v>
      </c>
      <c r="AZ52" s="2">
        <v>17</v>
      </c>
      <c r="BA52" s="2">
        <f t="shared" si="628"/>
        <v>66</v>
      </c>
      <c r="BB52" s="2">
        <v>121</v>
      </c>
      <c r="BC52" s="2">
        <f t="shared" ref="BC52:BE52" si="629">_xlfn.RANK.EQ(BB52, BB$7:BB$375,0)</f>
        <v>80</v>
      </c>
      <c r="BD52" s="2">
        <v>166</v>
      </c>
      <c r="BE52" s="2">
        <f t="shared" si="629"/>
        <v>61</v>
      </c>
      <c r="BF52" s="2">
        <v>902</v>
      </c>
      <c r="BG52" s="2">
        <f t="shared" ref="BG52:BI52" si="630">_xlfn.RANK.EQ(BF52, BF$7:BF$375,0)</f>
        <v>56</v>
      </c>
      <c r="BH52" s="2">
        <v>-61</v>
      </c>
      <c r="BI52" s="2">
        <f t="shared" si="630"/>
        <v>249</v>
      </c>
    </row>
    <row r="53" spans="1:61" x14ac:dyDescent="0.55000000000000004">
      <c r="A53" s="2">
        <v>47</v>
      </c>
      <c r="B53" s="2" t="s">
        <v>101</v>
      </c>
      <c r="C53" s="2" t="s">
        <v>52</v>
      </c>
      <c r="D53" s="2">
        <v>60</v>
      </c>
      <c r="E53" s="2">
        <f t="shared" si="0"/>
        <v>1</v>
      </c>
      <c r="F53" s="2">
        <v>60</v>
      </c>
      <c r="G53" s="2">
        <f t="shared" ref="G53:I53" si="631">_xlfn.RANK.EQ(F53, F$7:F$375,0)</f>
        <v>1</v>
      </c>
      <c r="H53" s="3">
        <v>61.305555555555557</v>
      </c>
      <c r="I53" s="2">
        <f t="shared" si="631"/>
        <v>51</v>
      </c>
      <c r="J53" s="3">
        <v>1.0215277777777778</v>
      </c>
      <c r="K53" s="2">
        <f t="shared" ref="K53:M53" si="632">_xlfn.RANK.EQ(J53, J$7:J$375,0)</f>
        <v>87</v>
      </c>
      <c r="L53" s="2">
        <v>744</v>
      </c>
      <c r="M53" s="2">
        <f t="shared" si="632"/>
        <v>47</v>
      </c>
      <c r="N53" s="2">
        <v>252</v>
      </c>
      <c r="O53" s="2">
        <f t="shared" ref="O53:Q53" si="633">_xlfn.RANK.EQ(N53, N$7:N$375,0)</f>
        <v>58</v>
      </c>
      <c r="P53" s="2">
        <v>566</v>
      </c>
      <c r="Q53" s="2">
        <f t="shared" si="633"/>
        <v>47</v>
      </c>
      <c r="R53" s="4">
        <v>0.44500000000000001</v>
      </c>
      <c r="S53" s="2">
        <f t="shared" ref="S53:U53" si="634">_xlfn.RANK.EQ(R53, R$7:R$375,0)</f>
        <v>126</v>
      </c>
      <c r="T53" s="2">
        <v>118</v>
      </c>
      <c r="U53" s="2">
        <f t="shared" si="634"/>
        <v>97</v>
      </c>
      <c r="V53" s="2">
        <v>243</v>
      </c>
      <c r="W53" s="2">
        <f t="shared" ref="W53:Y53" si="635">_xlfn.RANK.EQ(V53, V$7:V$375,0)</f>
        <v>88</v>
      </c>
      <c r="X53" s="4">
        <v>0.48599999999999999</v>
      </c>
      <c r="Y53" s="2">
        <f t="shared" si="635"/>
        <v>201</v>
      </c>
      <c r="Z53" s="2">
        <v>134</v>
      </c>
      <c r="AA53" s="2">
        <f t="shared" ref="AA53:AC53" si="636">_xlfn.RANK.EQ(Z53, Z$7:Z$375,0)</f>
        <v>12</v>
      </c>
      <c r="AB53" s="2">
        <v>323</v>
      </c>
      <c r="AC53" s="2">
        <f t="shared" si="636"/>
        <v>22</v>
      </c>
      <c r="AD53" s="4">
        <v>0.41499999999999998</v>
      </c>
      <c r="AE53" s="2">
        <f t="shared" ref="AE53:AG53" si="637">_xlfn.RANK.EQ(AD53, AD$7:AD$375,0)</f>
        <v>31</v>
      </c>
      <c r="AF53" s="2">
        <v>106</v>
      </c>
      <c r="AG53" s="2">
        <f t="shared" si="637"/>
        <v>63</v>
      </c>
      <c r="AH53" s="2">
        <v>131</v>
      </c>
      <c r="AI53" s="2">
        <f t="shared" ref="AI53:AK53" si="638">_xlfn.RANK.EQ(AH53, AH$7:AH$375,0)</f>
        <v>70</v>
      </c>
      <c r="AJ53" s="4">
        <v>0.80900000000000005</v>
      </c>
      <c r="AK53" s="2">
        <f t="shared" si="638"/>
        <v>75</v>
      </c>
      <c r="AL53" s="2">
        <v>40</v>
      </c>
      <c r="AM53" s="2">
        <f t="shared" ref="AM53:AO53" si="639">_xlfn.RANK.EQ(AL53, AL$7:AL$375,0)</f>
        <v>110</v>
      </c>
      <c r="AN53" s="2">
        <v>83</v>
      </c>
      <c r="AO53" s="2">
        <f t="shared" si="639"/>
        <v>138</v>
      </c>
      <c r="AP53" s="2">
        <v>123</v>
      </c>
      <c r="AQ53" s="2">
        <f t="shared" ref="AQ53:AS53" si="640">_xlfn.RANK.EQ(AP53, AP$7:AP$375,0)</f>
        <v>128</v>
      </c>
      <c r="AR53" s="2">
        <v>323</v>
      </c>
      <c r="AS53" s="2">
        <f t="shared" si="640"/>
        <v>5</v>
      </c>
      <c r="AT53" s="2">
        <v>109</v>
      </c>
      <c r="AU53" s="2">
        <f t="shared" ref="AU53:AW53" si="641">_xlfn.RANK.EQ(AT53, AT$7:AT$375,0)</f>
        <v>36</v>
      </c>
      <c r="AV53" s="2">
        <v>90</v>
      </c>
      <c r="AW53" s="2">
        <f t="shared" si="641"/>
        <v>8</v>
      </c>
      <c r="AX53" s="2">
        <v>3</v>
      </c>
      <c r="AY53" s="2">
        <f t="shared" ref="AY53:BA53" si="642">_xlfn.RANK.EQ(AX53, AX$7:AX$375,0)</f>
        <v>208</v>
      </c>
      <c r="AZ53" s="2">
        <v>13</v>
      </c>
      <c r="BA53" s="2">
        <f t="shared" si="642"/>
        <v>114</v>
      </c>
      <c r="BB53" s="2">
        <v>94</v>
      </c>
      <c r="BC53" s="2">
        <f t="shared" ref="BC53:BE53" si="643">_xlfn.RANK.EQ(BB53, BB$7:BB$375,0)</f>
        <v>155</v>
      </c>
      <c r="BD53" s="2">
        <v>239</v>
      </c>
      <c r="BE53" s="2">
        <f t="shared" si="643"/>
        <v>22</v>
      </c>
      <c r="BF53" s="2">
        <v>966</v>
      </c>
      <c r="BG53" s="2">
        <f t="shared" ref="BG53:BI53" si="644">_xlfn.RANK.EQ(BF53, BF$7:BF$375,0)</f>
        <v>46</v>
      </c>
      <c r="BH53" s="2">
        <v>293</v>
      </c>
      <c r="BI53" s="2">
        <f t="shared" si="644"/>
        <v>28</v>
      </c>
    </row>
    <row r="54" spans="1:61" x14ac:dyDescent="0.55000000000000004">
      <c r="A54" s="2">
        <v>48</v>
      </c>
      <c r="B54" s="2" t="s">
        <v>102</v>
      </c>
      <c r="C54" s="2" t="s">
        <v>34</v>
      </c>
      <c r="D54" s="2">
        <v>60</v>
      </c>
      <c r="E54" s="2">
        <f t="shared" si="0"/>
        <v>1</v>
      </c>
      <c r="F54" s="2">
        <v>60</v>
      </c>
      <c r="G54" s="2">
        <f t="shared" ref="G54:I54" si="645">_xlfn.RANK.EQ(F54, F$7:F$375,0)</f>
        <v>1</v>
      </c>
      <c r="H54" s="3">
        <v>69.560416666666669</v>
      </c>
      <c r="I54" s="2">
        <f t="shared" si="645"/>
        <v>20</v>
      </c>
      <c r="J54" s="3">
        <v>1.1590277777777778</v>
      </c>
      <c r="K54" s="2">
        <f t="shared" ref="K54:M54" si="646">_xlfn.RANK.EQ(J54, J$7:J$375,0)</f>
        <v>37</v>
      </c>
      <c r="L54" s="2">
        <v>735</v>
      </c>
      <c r="M54" s="2">
        <f t="shared" si="646"/>
        <v>48</v>
      </c>
      <c r="N54" s="2">
        <v>265</v>
      </c>
      <c r="O54" s="2">
        <f t="shared" ref="O54:Q54" si="647">_xlfn.RANK.EQ(N54, N$7:N$375,0)</f>
        <v>50</v>
      </c>
      <c r="P54" s="2">
        <v>512</v>
      </c>
      <c r="Q54" s="2">
        <f t="shared" si="647"/>
        <v>62</v>
      </c>
      <c r="R54" s="4">
        <v>0.51800000000000002</v>
      </c>
      <c r="S54" s="2">
        <f t="shared" ref="S54:U54" si="648">_xlfn.RANK.EQ(R54, R$7:R$375,0)</f>
        <v>56</v>
      </c>
      <c r="T54" s="2">
        <v>168</v>
      </c>
      <c r="U54" s="2">
        <f t="shared" si="648"/>
        <v>63</v>
      </c>
      <c r="V54" s="2">
        <v>267</v>
      </c>
      <c r="W54" s="2">
        <f t="shared" ref="W54:Y54" si="649">_xlfn.RANK.EQ(V54, V$7:V$375,0)</f>
        <v>79</v>
      </c>
      <c r="X54" s="4">
        <v>0.629</v>
      </c>
      <c r="Y54" s="2">
        <f t="shared" si="649"/>
        <v>34</v>
      </c>
      <c r="Z54" s="2">
        <v>97</v>
      </c>
      <c r="AA54" s="2">
        <f t="shared" ref="AA54:AC54" si="650">_xlfn.RANK.EQ(Z54, Z$7:Z$375,0)</f>
        <v>34</v>
      </c>
      <c r="AB54" s="2">
        <v>245</v>
      </c>
      <c r="AC54" s="2">
        <f t="shared" si="650"/>
        <v>48</v>
      </c>
      <c r="AD54" s="4">
        <v>0.39600000000000002</v>
      </c>
      <c r="AE54" s="2">
        <f t="shared" ref="AE54:AG54" si="651">_xlfn.RANK.EQ(AD54, AD$7:AD$375,0)</f>
        <v>43</v>
      </c>
      <c r="AF54" s="2">
        <v>108</v>
      </c>
      <c r="AG54" s="2">
        <f t="shared" si="651"/>
        <v>61</v>
      </c>
      <c r="AH54" s="2">
        <v>133</v>
      </c>
      <c r="AI54" s="2">
        <f t="shared" ref="AI54:AK54" si="652">_xlfn.RANK.EQ(AH54, AH$7:AH$375,0)</f>
        <v>68</v>
      </c>
      <c r="AJ54" s="4">
        <v>0.81200000000000006</v>
      </c>
      <c r="AK54" s="2">
        <f t="shared" si="652"/>
        <v>69</v>
      </c>
      <c r="AL54" s="2">
        <v>77</v>
      </c>
      <c r="AM54" s="2">
        <f t="shared" ref="AM54:AO54" si="653">_xlfn.RANK.EQ(AL54, AL$7:AL$375,0)</f>
        <v>51</v>
      </c>
      <c r="AN54" s="2">
        <v>158</v>
      </c>
      <c r="AO54" s="2">
        <f t="shared" si="653"/>
        <v>79</v>
      </c>
      <c r="AP54" s="2">
        <v>235</v>
      </c>
      <c r="AQ54" s="2">
        <f t="shared" ref="AQ54:AS54" si="654">_xlfn.RANK.EQ(AP54, AP$7:AP$375,0)</f>
        <v>77</v>
      </c>
      <c r="AR54" s="2">
        <v>190</v>
      </c>
      <c r="AS54" s="2">
        <f t="shared" si="654"/>
        <v>44</v>
      </c>
      <c r="AT54" s="2">
        <v>98</v>
      </c>
      <c r="AU54" s="2">
        <f t="shared" ref="AU54:AW54" si="655">_xlfn.RANK.EQ(AT54, AT$7:AT$375,0)</f>
        <v>50</v>
      </c>
      <c r="AV54" s="2">
        <v>102</v>
      </c>
      <c r="AW54" s="2">
        <f t="shared" si="655"/>
        <v>4</v>
      </c>
      <c r="AX54" s="2">
        <v>28</v>
      </c>
      <c r="AY54" s="2">
        <f t="shared" ref="AY54:BA54" si="656">_xlfn.RANK.EQ(AX54, AX$7:AX$375,0)</f>
        <v>42</v>
      </c>
      <c r="AZ54" s="2">
        <v>14</v>
      </c>
      <c r="BA54" s="2">
        <f t="shared" si="656"/>
        <v>104</v>
      </c>
      <c r="BB54" s="2">
        <v>141</v>
      </c>
      <c r="BC54" s="2">
        <f t="shared" ref="BC54:BE54" si="657">_xlfn.RANK.EQ(BB54, BB$7:BB$375,0)</f>
        <v>35</v>
      </c>
      <c r="BD54" s="2">
        <v>165</v>
      </c>
      <c r="BE54" s="2">
        <f t="shared" si="657"/>
        <v>63</v>
      </c>
      <c r="BF54" s="2">
        <v>928</v>
      </c>
      <c r="BG54" s="2">
        <f t="shared" ref="BG54:BI54" si="658">_xlfn.RANK.EQ(BF54, BF$7:BF$375,0)</f>
        <v>52</v>
      </c>
      <c r="BH54" s="2">
        <v>593</v>
      </c>
      <c r="BI54" s="2">
        <f t="shared" si="658"/>
        <v>3</v>
      </c>
    </row>
    <row r="55" spans="1:61" x14ac:dyDescent="0.55000000000000004">
      <c r="A55" s="2">
        <v>49</v>
      </c>
      <c r="B55" s="2" t="s">
        <v>103</v>
      </c>
      <c r="C55" s="2" t="s">
        <v>36</v>
      </c>
      <c r="D55" s="2">
        <v>60</v>
      </c>
      <c r="E55" s="2">
        <f t="shared" si="0"/>
        <v>1</v>
      </c>
      <c r="F55" s="2">
        <v>59</v>
      </c>
      <c r="G55" s="2">
        <f t="shared" ref="G55:I55" si="659">_xlfn.RANK.EQ(F55, F$7:F$375,0)</f>
        <v>14</v>
      </c>
      <c r="H55" s="3">
        <v>64.932638888888889</v>
      </c>
      <c r="I55" s="2">
        <f t="shared" si="659"/>
        <v>35</v>
      </c>
      <c r="J55" s="3">
        <v>1.0819444444444444</v>
      </c>
      <c r="K55" s="2">
        <f t="shared" ref="K55:M55" si="660">_xlfn.RANK.EQ(J55, J$7:J$375,0)</f>
        <v>65</v>
      </c>
      <c r="L55" s="2">
        <v>734</v>
      </c>
      <c r="M55" s="2">
        <f t="shared" si="660"/>
        <v>49</v>
      </c>
      <c r="N55" s="2">
        <v>273</v>
      </c>
      <c r="O55" s="2">
        <f t="shared" ref="O55:Q55" si="661">_xlfn.RANK.EQ(N55, N$7:N$375,0)</f>
        <v>44</v>
      </c>
      <c r="P55" s="2">
        <v>585</v>
      </c>
      <c r="Q55" s="2">
        <f t="shared" si="661"/>
        <v>41</v>
      </c>
      <c r="R55" s="4">
        <v>0.46700000000000003</v>
      </c>
      <c r="S55" s="2">
        <f t="shared" ref="S55:U55" si="662">_xlfn.RANK.EQ(R55, R$7:R$375,0)</f>
        <v>94</v>
      </c>
      <c r="T55" s="2">
        <v>189</v>
      </c>
      <c r="U55" s="2">
        <f t="shared" si="662"/>
        <v>54</v>
      </c>
      <c r="V55" s="2">
        <v>355</v>
      </c>
      <c r="W55" s="2">
        <f t="shared" ref="W55:Y55" si="663">_xlfn.RANK.EQ(V55, V$7:V$375,0)</f>
        <v>49</v>
      </c>
      <c r="X55" s="4">
        <v>0.53200000000000003</v>
      </c>
      <c r="Y55" s="2">
        <f t="shared" si="663"/>
        <v>138</v>
      </c>
      <c r="Z55" s="2">
        <v>84</v>
      </c>
      <c r="AA55" s="2">
        <f t="shared" ref="AA55:AC55" si="664">_xlfn.RANK.EQ(Z55, Z$7:Z$375,0)</f>
        <v>54</v>
      </c>
      <c r="AB55" s="2">
        <v>230</v>
      </c>
      <c r="AC55" s="2">
        <f t="shared" si="664"/>
        <v>58</v>
      </c>
      <c r="AD55" s="4">
        <v>0.36499999999999999</v>
      </c>
      <c r="AE55" s="2">
        <f t="shared" ref="AE55:AG55" si="665">_xlfn.RANK.EQ(AD55, AD$7:AD$375,0)</f>
        <v>88</v>
      </c>
      <c r="AF55" s="2">
        <v>104</v>
      </c>
      <c r="AG55" s="2">
        <f t="shared" si="665"/>
        <v>66</v>
      </c>
      <c r="AH55" s="2">
        <v>145</v>
      </c>
      <c r="AI55" s="2">
        <f t="shared" ref="AI55:AK55" si="666">_xlfn.RANK.EQ(AH55, AH$7:AH$375,0)</f>
        <v>62</v>
      </c>
      <c r="AJ55" s="4">
        <v>0.71699999999999997</v>
      </c>
      <c r="AK55" s="2">
        <f t="shared" si="666"/>
        <v>188</v>
      </c>
      <c r="AL55" s="2">
        <v>62</v>
      </c>
      <c r="AM55" s="2">
        <f t="shared" ref="AM55:AO55" si="667">_xlfn.RANK.EQ(AL55, AL$7:AL$375,0)</f>
        <v>72</v>
      </c>
      <c r="AN55" s="2">
        <v>146</v>
      </c>
      <c r="AO55" s="2">
        <f t="shared" si="667"/>
        <v>85</v>
      </c>
      <c r="AP55" s="2">
        <v>208</v>
      </c>
      <c r="AQ55" s="2">
        <f t="shared" ref="AQ55:AS55" si="668">_xlfn.RANK.EQ(AP55, AP$7:AP$375,0)</f>
        <v>83</v>
      </c>
      <c r="AR55" s="2">
        <v>161</v>
      </c>
      <c r="AS55" s="2">
        <f t="shared" si="668"/>
        <v>64</v>
      </c>
      <c r="AT55" s="2">
        <v>80</v>
      </c>
      <c r="AU55" s="2">
        <f t="shared" ref="AU55:AW55" si="669">_xlfn.RANK.EQ(AT55, AT$7:AT$375,0)</f>
        <v>80</v>
      </c>
      <c r="AV55" s="2">
        <v>67</v>
      </c>
      <c r="AW55" s="2">
        <f t="shared" si="669"/>
        <v>23</v>
      </c>
      <c r="AX55" s="2">
        <v>29</v>
      </c>
      <c r="AY55" s="2">
        <f t="shared" ref="AY55:BA55" si="670">_xlfn.RANK.EQ(AX55, AX$7:AX$375,0)</f>
        <v>39</v>
      </c>
      <c r="AZ55" s="2">
        <v>19</v>
      </c>
      <c r="BA55" s="2">
        <f t="shared" si="670"/>
        <v>52</v>
      </c>
      <c r="BB55" s="2">
        <v>119</v>
      </c>
      <c r="BC55" s="2">
        <f t="shared" ref="BC55:BE55" si="671">_xlfn.RANK.EQ(BB55, BB$7:BB$375,0)</f>
        <v>85</v>
      </c>
      <c r="BD55" s="2">
        <v>140</v>
      </c>
      <c r="BE55" s="2">
        <f t="shared" si="671"/>
        <v>78</v>
      </c>
      <c r="BF55" s="2">
        <v>768</v>
      </c>
      <c r="BG55" s="2">
        <f t="shared" ref="BG55:BI55" si="672">_xlfn.RANK.EQ(BF55, BF$7:BF$375,0)</f>
        <v>65</v>
      </c>
      <c r="BH55" s="2">
        <v>233</v>
      </c>
      <c r="BI55" s="2">
        <f t="shared" si="672"/>
        <v>39</v>
      </c>
    </row>
    <row r="56" spans="1:61" x14ac:dyDescent="0.55000000000000004">
      <c r="A56" s="2">
        <v>50</v>
      </c>
      <c r="B56" s="2" t="s">
        <v>104</v>
      </c>
      <c r="C56" s="2" t="s">
        <v>84</v>
      </c>
      <c r="D56" s="2">
        <v>39</v>
      </c>
      <c r="E56" s="2">
        <f t="shared" si="0"/>
        <v>248</v>
      </c>
      <c r="F56" s="2">
        <v>33</v>
      </c>
      <c r="G56" s="2">
        <f t="shared" ref="G56:I56" si="673">_xlfn.RANK.EQ(F56, F$7:F$375,0)</f>
        <v>111</v>
      </c>
      <c r="H56" s="3">
        <v>45.227777777777774</v>
      </c>
      <c r="I56" s="2">
        <f t="shared" si="673"/>
        <v>131</v>
      </c>
      <c r="J56" s="3">
        <v>1.1590277777777778</v>
      </c>
      <c r="K56" s="2">
        <f t="shared" ref="K56:M56" si="674">_xlfn.RANK.EQ(J56, J$7:J$375,0)</f>
        <v>37</v>
      </c>
      <c r="L56" s="2">
        <v>732</v>
      </c>
      <c r="M56" s="2">
        <f t="shared" si="674"/>
        <v>50</v>
      </c>
      <c r="N56" s="2">
        <v>271</v>
      </c>
      <c r="O56" s="2">
        <f t="shared" ref="O56:Q56" si="675">_xlfn.RANK.EQ(N56, N$7:N$375,0)</f>
        <v>45</v>
      </c>
      <c r="P56" s="2">
        <v>575</v>
      </c>
      <c r="Q56" s="2">
        <f t="shared" si="675"/>
        <v>44</v>
      </c>
      <c r="R56" s="4">
        <v>0.47099999999999997</v>
      </c>
      <c r="S56" s="2">
        <f t="shared" ref="S56:U56" si="676">_xlfn.RANK.EQ(R56, R$7:R$375,0)</f>
        <v>90</v>
      </c>
      <c r="T56" s="2">
        <v>218</v>
      </c>
      <c r="U56" s="2">
        <f t="shared" si="676"/>
        <v>41</v>
      </c>
      <c r="V56" s="2">
        <v>389</v>
      </c>
      <c r="W56" s="2">
        <f t="shared" ref="W56:Y56" si="677">_xlfn.RANK.EQ(V56, V$7:V$375,0)</f>
        <v>40</v>
      </c>
      <c r="X56" s="4">
        <v>0.56000000000000005</v>
      </c>
      <c r="Y56" s="2">
        <f t="shared" si="677"/>
        <v>95</v>
      </c>
      <c r="Z56" s="2">
        <v>53</v>
      </c>
      <c r="AA56" s="2">
        <f t="shared" ref="AA56:AC56" si="678">_xlfn.RANK.EQ(Z56, Z$7:Z$375,0)</f>
        <v>113</v>
      </c>
      <c r="AB56" s="2">
        <v>186</v>
      </c>
      <c r="AC56" s="2">
        <f t="shared" si="678"/>
        <v>89</v>
      </c>
      <c r="AD56" s="4">
        <v>0.28499999999999998</v>
      </c>
      <c r="AE56" s="2">
        <f t="shared" ref="AE56:AG56" si="679">_xlfn.RANK.EQ(AD56, AD$7:AD$375,0)</f>
        <v>239</v>
      </c>
      <c r="AF56" s="2">
        <v>137</v>
      </c>
      <c r="AG56" s="2">
        <f t="shared" si="679"/>
        <v>38</v>
      </c>
      <c r="AH56" s="2">
        <v>184</v>
      </c>
      <c r="AI56" s="2">
        <f t="shared" ref="AI56:AK56" si="680">_xlfn.RANK.EQ(AH56, AH$7:AH$375,0)</f>
        <v>40</v>
      </c>
      <c r="AJ56" s="4">
        <v>0.745</v>
      </c>
      <c r="AK56" s="2">
        <f t="shared" si="680"/>
        <v>156</v>
      </c>
      <c r="AL56" s="2">
        <v>35</v>
      </c>
      <c r="AM56" s="2">
        <f t="shared" ref="AM56:AO56" si="681">_xlfn.RANK.EQ(AL56, AL$7:AL$375,0)</f>
        <v>129</v>
      </c>
      <c r="AN56" s="2">
        <v>246</v>
      </c>
      <c r="AO56" s="2">
        <f t="shared" si="681"/>
        <v>45</v>
      </c>
      <c r="AP56" s="2">
        <v>281</v>
      </c>
      <c r="AQ56" s="2">
        <f t="shared" ref="AQ56:AS56" si="682">_xlfn.RANK.EQ(AP56, AP$7:AP$375,0)</f>
        <v>67</v>
      </c>
      <c r="AR56" s="2">
        <v>92</v>
      </c>
      <c r="AS56" s="2">
        <f t="shared" si="682"/>
        <v>138</v>
      </c>
      <c r="AT56" s="2">
        <v>91</v>
      </c>
      <c r="AU56" s="2">
        <f t="shared" ref="AU56:AW56" si="683">_xlfn.RANK.EQ(AT56, AT$7:AT$375,0)</f>
        <v>61</v>
      </c>
      <c r="AV56" s="2">
        <v>42</v>
      </c>
      <c r="AW56" s="2">
        <f t="shared" si="683"/>
        <v>97</v>
      </c>
      <c r="AX56" s="2">
        <v>14</v>
      </c>
      <c r="AY56" s="2">
        <f t="shared" ref="AY56:BA56" si="684">_xlfn.RANK.EQ(AX56, AX$7:AX$375,0)</f>
        <v>82</v>
      </c>
      <c r="AZ56" s="2">
        <v>17</v>
      </c>
      <c r="BA56" s="2">
        <f t="shared" si="684"/>
        <v>66</v>
      </c>
      <c r="BB56" s="2">
        <v>70</v>
      </c>
      <c r="BC56" s="2">
        <f t="shared" ref="BC56:BE56" si="685">_xlfn.RANK.EQ(BB56, BB$7:BB$375,0)</f>
        <v>215</v>
      </c>
      <c r="BD56" s="2">
        <v>189</v>
      </c>
      <c r="BE56" s="2">
        <f t="shared" si="685"/>
        <v>48</v>
      </c>
      <c r="BF56" s="2">
        <v>818</v>
      </c>
      <c r="BG56" s="2">
        <f t="shared" ref="BG56:BI56" si="686">_xlfn.RANK.EQ(BF56, BF$7:BF$375,0)</f>
        <v>61</v>
      </c>
      <c r="BH56" s="2">
        <v>-118</v>
      </c>
      <c r="BI56" s="2">
        <f t="shared" si="686"/>
        <v>297</v>
      </c>
    </row>
    <row r="57" spans="1:61" x14ac:dyDescent="0.55000000000000004">
      <c r="A57" s="2">
        <v>51</v>
      </c>
      <c r="B57" s="2" t="s">
        <v>105</v>
      </c>
      <c r="C57" s="2" t="s">
        <v>106</v>
      </c>
      <c r="D57" s="2">
        <v>60</v>
      </c>
      <c r="E57" s="2">
        <f t="shared" si="0"/>
        <v>1</v>
      </c>
      <c r="F57" s="2">
        <v>60</v>
      </c>
      <c r="G57" s="2">
        <f t="shared" ref="G57:I57" si="687">_xlfn.RANK.EQ(F57, F$7:F$375,0)</f>
        <v>1</v>
      </c>
      <c r="H57" s="3">
        <v>78.33541666666666</v>
      </c>
      <c r="I57" s="2">
        <f t="shared" si="687"/>
        <v>2</v>
      </c>
      <c r="J57" s="3">
        <v>1.3055555555555556</v>
      </c>
      <c r="K57" s="2">
        <f t="shared" ref="K57:M57" si="688">_xlfn.RANK.EQ(J57, J$7:J$375,0)</f>
        <v>5</v>
      </c>
      <c r="L57" s="2">
        <v>731</v>
      </c>
      <c r="M57" s="2">
        <f t="shared" si="688"/>
        <v>51</v>
      </c>
      <c r="N57" s="2">
        <v>276</v>
      </c>
      <c r="O57" s="2">
        <f t="shared" ref="O57:Q57" si="689">_xlfn.RANK.EQ(N57, N$7:N$375,0)</f>
        <v>42</v>
      </c>
      <c r="P57" s="2">
        <v>437</v>
      </c>
      <c r="Q57" s="2">
        <f t="shared" si="689"/>
        <v>82</v>
      </c>
      <c r="R57" s="4">
        <v>0.63200000000000001</v>
      </c>
      <c r="S57" s="2">
        <f t="shared" ref="S57:U57" si="690">_xlfn.RANK.EQ(R57, R$7:R$375,0)</f>
        <v>6</v>
      </c>
      <c r="T57" s="2">
        <v>274</v>
      </c>
      <c r="U57" s="2">
        <f t="shared" si="690"/>
        <v>22</v>
      </c>
      <c r="V57" s="2">
        <v>427</v>
      </c>
      <c r="W57" s="2">
        <f t="shared" ref="W57:Y57" si="691">_xlfn.RANK.EQ(V57, V$7:V$375,0)</f>
        <v>26</v>
      </c>
      <c r="X57" s="4">
        <v>0.64200000000000002</v>
      </c>
      <c r="Y57" s="2">
        <f t="shared" si="691"/>
        <v>25</v>
      </c>
      <c r="Z57" s="2">
        <v>2</v>
      </c>
      <c r="AA57" s="2">
        <f t="shared" ref="AA57:AC57" si="692">_xlfn.RANK.EQ(Z57, Z$7:Z$375,0)</f>
        <v>304</v>
      </c>
      <c r="AB57" s="2">
        <v>10</v>
      </c>
      <c r="AC57" s="2">
        <f t="shared" si="692"/>
        <v>306</v>
      </c>
      <c r="AD57" s="4">
        <v>0.2</v>
      </c>
      <c r="AE57" s="2">
        <f t="shared" ref="AE57:AG57" si="693">_xlfn.RANK.EQ(AD57, AD$7:AD$375,0)</f>
        <v>303</v>
      </c>
      <c r="AF57" s="2">
        <v>177</v>
      </c>
      <c r="AG57" s="2">
        <f t="shared" si="693"/>
        <v>21</v>
      </c>
      <c r="AH57" s="2">
        <v>255</v>
      </c>
      <c r="AI57" s="2">
        <f t="shared" ref="AI57:AK57" si="694">_xlfn.RANK.EQ(AH57, AH$7:AH$375,0)</f>
        <v>17</v>
      </c>
      <c r="AJ57" s="4">
        <v>0.69399999999999995</v>
      </c>
      <c r="AK57" s="2">
        <f t="shared" si="694"/>
        <v>208</v>
      </c>
      <c r="AL57" s="2">
        <v>181</v>
      </c>
      <c r="AM57" s="2">
        <f t="shared" ref="AM57:AO57" si="695">_xlfn.RANK.EQ(AL57, AL$7:AL$375,0)</f>
        <v>5</v>
      </c>
      <c r="AN57" s="2">
        <v>385</v>
      </c>
      <c r="AO57" s="2">
        <f t="shared" si="695"/>
        <v>3</v>
      </c>
      <c r="AP57" s="2">
        <v>566</v>
      </c>
      <c r="AQ57" s="2">
        <f t="shared" ref="AQ57:AS57" si="696">_xlfn.RANK.EQ(AP57, AP$7:AP$375,0)</f>
        <v>3</v>
      </c>
      <c r="AR57" s="2">
        <v>199</v>
      </c>
      <c r="AS57" s="2">
        <f t="shared" si="696"/>
        <v>33</v>
      </c>
      <c r="AT57" s="2">
        <v>142</v>
      </c>
      <c r="AU57" s="2">
        <f t="shared" ref="AU57:AW57" si="697">_xlfn.RANK.EQ(AT57, AT$7:AT$375,0)</f>
        <v>9</v>
      </c>
      <c r="AV57" s="2">
        <v>34</v>
      </c>
      <c r="AW57" s="2">
        <f t="shared" si="697"/>
        <v>129</v>
      </c>
      <c r="AX57" s="2">
        <v>41</v>
      </c>
      <c r="AY57" s="2">
        <f t="shared" ref="AY57:BA57" si="698">_xlfn.RANK.EQ(AX57, AX$7:AX$375,0)</f>
        <v>18</v>
      </c>
      <c r="AZ57" s="2">
        <v>14</v>
      </c>
      <c r="BA57" s="2">
        <f t="shared" si="698"/>
        <v>104</v>
      </c>
      <c r="BB57" s="2">
        <v>108</v>
      </c>
      <c r="BC57" s="2">
        <f t="shared" ref="BC57:BE57" si="699">_xlfn.RANK.EQ(BB57, BB$7:BB$375,0)</f>
        <v>113</v>
      </c>
      <c r="BD57" s="2">
        <v>260</v>
      </c>
      <c r="BE57" s="2">
        <f t="shared" si="699"/>
        <v>17</v>
      </c>
      <c r="BF57" s="2">
        <v>1325</v>
      </c>
      <c r="BG57" s="2">
        <f t="shared" ref="BG57:BI57" si="700">_xlfn.RANK.EQ(BF57, BF$7:BF$375,0)</f>
        <v>10</v>
      </c>
      <c r="BH57" s="2">
        <v>-373</v>
      </c>
      <c r="BI57" s="2">
        <f t="shared" si="700"/>
        <v>366</v>
      </c>
    </row>
    <row r="58" spans="1:61" x14ac:dyDescent="0.55000000000000004">
      <c r="A58" s="2">
        <v>51</v>
      </c>
      <c r="B58" s="2" t="s">
        <v>107</v>
      </c>
      <c r="C58" s="2" t="s">
        <v>84</v>
      </c>
      <c r="D58" s="2">
        <v>53</v>
      </c>
      <c r="E58" s="2">
        <f t="shared" si="0"/>
        <v>166</v>
      </c>
      <c r="F58" s="2">
        <v>51</v>
      </c>
      <c r="G58" s="2">
        <f t="shared" ref="G58:I58" si="701">_xlfn.RANK.EQ(F58, F$7:F$375,0)</f>
        <v>46</v>
      </c>
      <c r="H58" s="3">
        <v>54.746527777777779</v>
      </c>
      <c r="I58" s="2">
        <f t="shared" si="701"/>
        <v>87</v>
      </c>
      <c r="J58" s="3">
        <v>1.0326388888888889</v>
      </c>
      <c r="K58" s="2">
        <f t="shared" ref="K58:M58" si="702">_xlfn.RANK.EQ(J58, J$7:J$375,0)</f>
        <v>81</v>
      </c>
      <c r="L58" s="2">
        <v>731</v>
      </c>
      <c r="M58" s="2">
        <f t="shared" si="702"/>
        <v>51</v>
      </c>
      <c r="N58" s="2">
        <v>239</v>
      </c>
      <c r="O58" s="2">
        <f t="shared" ref="O58:Q58" si="703">_xlfn.RANK.EQ(N58, N$7:N$375,0)</f>
        <v>65</v>
      </c>
      <c r="P58" s="2">
        <v>511</v>
      </c>
      <c r="Q58" s="2">
        <f t="shared" si="703"/>
        <v>64</v>
      </c>
      <c r="R58" s="4">
        <v>0.46800000000000003</v>
      </c>
      <c r="S58" s="2">
        <f t="shared" ref="S58:U58" si="704">_xlfn.RANK.EQ(R58, R$7:R$375,0)</f>
        <v>93</v>
      </c>
      <c r="T58" s="2">
        <v>92</v>
      </c>
      <c r="U58" s="2">
        <f t="shared" si="704"/>
        <v>113</v>
      </c>
      <c r="V58" s="2">
        <v>177</v>
      </c>
      <c r="W58" s="2">
        <f t="shared" ref="W58:Y58" si="705">_xlfn.RANK.EQ(V58, V$7:V$375,0)</f>
        <v>116</v>
      </c>
      <c r="X58" s="4">
        <v>0.52</v>
      </c>
      <c r="Y58" s="2">
        <f t="shared" si="705"/>
        <v>153</v>
      </c>
      <c r="Z58" s="2">
        <v>147</v>
      </c>
      <c r="AA58" s="2">
        <f t="shared" ref="AA58:AC58" si="706">_xlfn.RANK.EQ(Z58, Z$7:Z$375,0)</f>
        <v>6</v>
      </c>
      <c r="AB58" s="2">
        <v>334</v>
      </c>
      <c r="AC58" s="2">
        <f t="shared" si="706"/>
        <v>19</v>
      </c>
      <c r="AD58" s="4">
        <v>0.44</v>
      </c>
      <c r="AE58" s="2">
        <f t="shared" ref="AE58:AG58" si="707">_xlfn.RANK.EQ(AD58, AD$7:AD$375,0)</f>
        <v>22</v>
      </c>
      <c r="AF58" s="2">
        <v>106</v>
      </c>
      <c r="AG58" s="2">
        <f t="shared" si="707"/>
        <v>63</v>
      </c>
      <c r="AH58" s="2">
        <v>127</v>
      </c>
      <c r="AI58" s="2">
        <f t="shared" ref="AI58:AK58" si="708">_xlfn.RANK.EQ(AH58, AH$7:AH$375,0)</f>
        <v>71</v>
      </c>
      <c r="AJ58" s="4">
        <v>0.83499999999999996</v>
      </c>
      <c r="AK58" s="2">
        <f t="shared" si="708"/>
        <v>46</v>
      </c>
      <c r="AL58" s="2">
        <v>22</v>
      </c>
      <c r="AM58" s="2">
        <f t="shared" ref="AM58:AO58" si="709">_xlfn.RANK.EQ(AL58, AL$7:AL$375,0)</f>
        <v>188</v>
      </c>
      <c r="AN58" s="2">
        <v>87</v>
      </c>
      <c r="AO58" s="2">
        <f t="shared" si="709"/>
        <v>126</v>
      </c>
      <c r="AP58" s="2">
        <v>109</v>
      </c>
      <c r="AQ58" s="2">
        <f t="shared" ref="AQ58:AS58" si="710">_xlfn.RANK.EQ(AP58, AP$7:AP$375,0)</f>
        <v>148</v>
      </c>
      <c r="AR58" s="2">
        <v>133</v>
      </c>
      <c r="AS58" s="2">
        <f t="shared" si="710"/>
        <v>88</v>
      </c>
      <c r="AT58" s="2">
        <v>95</v>
      </c>
      <c r="AU58" s="2">
        <f t="shared" ref="AU58:AW58" si="711">_xlfn.RANK.EQ(AT58, AT$7:AT$375,0)</f>
        <v>55</v>
      </c>
      <c r="AV58" s="2">
        <v>30</v>
      </c>
      <c r="AW58" s="2">
        <f t="shared" si="711"/>
        <v>145</v>
      </c>
      <c r="AX58" s="2">
        <v>2</v>
      </c>
      <c r="AY58" s="2">
        <f t="shared" ref="AY58:BA58" si="712">_xlfn.RANK.EQ(AX58, AX$7:AX$375,0)</f>
        <v>234</v>
      </c>
      <c r="AZ58" s="2">
        <v>21</v>
      </c>
      <c r="BA58" s="2">
        <f t="shared" si="712"/>
        <v>41</v>
      </c>
      <c r="BB58" s="2">
        <v>147</v>
      </c>
      <c r="BC58" s="2">
        <f t="shared" ref="BC58:BE58" si="713">_xlfn.RANK.EQ(BB58, BB$7:BB$375,0)</f>
        <v>23</v>
      </c>
      <c r="BD58" s="2">
        <v>208</v>
      </c>
      <c r="BE58" s="2">
        <f t="shared" si="713"/>
        <v>33</v>
      </c>
      <c r="BF58" s="2">
        <v>657</v>
      </c>
      <c r="BG58" s="2">
        <f t="shared" ref="BG58:BI58" si="714">_xlfn.RANK.EQ(BF58, BF$7:BF$375,0)</f>
        <v>75</v>
      </c>
      <c r="BH58" s="2">
        <v>-155</v>
      </c>
      <c r="BI58" s="2">
        <f t="shared" si="714"/>
        <v>321</v>
      </c>
    </row>
    <row r="59" spans="1:61" x14ac:dyDescent="0.55000000000000004">
      <c r="A59" s="2">
        <v>53</v>
      </c>
      <c r="B59" s="2" t="s">
        <v>108</v>
      </c>
      <c r="C59" s="2" t="s">
        <v>38</v>
      </c>
      <c r="D59" s="2">
        <v>37</v>
      </c>
      <c r="E59" s="2">
        <f t="shared" si="0"/>
        <v>256</v>
      </c>
      <c r="F59" s="2">
        <v>37</v>
      </c>
      <c r="G59" s="2">
        <f t="shared" ref="G59:I59" si="715">_xlfn.RANK.EQ(F59, F$7:F$375,0)</f>
        <v>94</v>
      </c>
      <c r="H59" s="3">
        <v>46.65763888888889</v>
      </c>
      <c r="I59" s="2">
        <f t="shared" si="715"/>
        <v>125</v>
      </c>
      <c r="J59" s="3">
        <v>1.2604166666666667</v>
      </c>
      <c r="K59" s="2">
        <f t="shared" ref="K59:M59" si="716">_xlfn.RANK.EQ(J59, J$7:J$375,0)</f>
        <v>11</v>
      </c>
      <c r="L59" s="2">
        <v>721</v>
      </c>
      <c r="M59" s="2">
        <f t="shared" si="716"/>
        <v>53</v>
      </c>
      <c r="N59" s="2">
        <v>251</v>
      </c>
      <c r="O59" s="2">
        <f t="shared" ref="O59:Q59" si="717">_xlfn.RANK.EQ(N59, N$7:N$375,0)</f>
        <v>59</v>
      </c>
      <c r="P59" s="2">
        <v>458</v>
      </c>
      <c r="Q59" s="2">
        <f t="shared" si="717"/>
        <v>74</v>
      </c>
      <c r="R59" s="4">
        <v>0.54800000000000004</v>
      </c>
      <c r="S59" s="2">
        <f t="shared" ref="S59:U59" si="718">_xlfn.RANK.EQ(R59, R$7:R$375,0)</f>
        <v>41</v>
      </c>
      <c r="T59" s="2">
        <v>238</v>
      </c>
      <c r="U59" s="2">
        <f t="shared" si="718"/>
        <v>32</v>
      </c>
      <c r="V59" s="2">
        <v>402</v>
      </c>
      <c r="W59" s="2">
        <f t="shared" ref="W59:Y59" si="719">_xlfn.RANK.EQ(V59, V$7:V$375,0)</f>
        <v>35</v>
      </c>
      <c r="X59" s="4">
        <v>0.59199999999999997</v>
      </c>
      <c r="Y59" s="2">
        <f t="shared" si="719"/>
        <v>59</v>
      </c>
      <c r="Z59" s="2">
        <v>13</v>
      </c>
      <c r="AA59" s="2">
        <f t="shared" ref="AA59:AC59" si="720">_xlfn.RANK.EQ(Z59, Z$7:Z$375,0)</f>
        <v>238</v>
      </c>
      <c r="AB59" s="2">
        <v>56</v>
      </c>
      <c r="AC59" s="2">
        <f t="shared" si="720"/>
        <v>226</v>
      </c>
      <c r="AD59" s="4">
        <v>0.23200000000000001</v>
      </c>
      <c r="AE59" s="2">
        <f t="shared" ref="AE59:AG59" si="721">_xlfn.RANK.EQ(AD59, AD$7:AD$375,0)</f>
        <v>281</v>
      </c>
      <c r="AF59" s="2">
        <v>206</v>
      </c>
      <c r="AG59" s="2">
        <f t="shared" si="721"/>
        <v>12</v>
      </c>
      <c r="AH59" s="2">
        <v>311</v>
      </c>
      <c r="AI59" s="2">
        <f t="shared" ref="AI59:AK59" si="722">_xlfn.RANK.EQ(AH59, AH$7:AH$375,0)</f>
        <v>9</v>
      </c>
      <c r="AJ59" s="4">
        <v>0.66200000000000003</v>
      </c>
      <c r="AK59" s="2">
        <f t="shared" si="722"/>
        <v>239</v>
      </c>
      <c r="AL59" s="2">
        <v>116</v>
      </c>
      <c r="AM59" s="2">
        <f t="shared" ref="AM59:AO59" si="723">_xlfn.RANK.EQ(AL59, AL$7:AL$375,0)</f>
        <v>33</v>
      </c>
      <c r="AN59" s="2">
        <v>168</v>
      </c>
      <c r="AO59" s="2">
        <f t="shared" si="723"/>
        <v>76</v>
      </c>
      <c r="AP59" s="2">
        <v>284</v>
      </c>
      <c r="AQ59" s="2">
        <f t="shared" ref="AQ59:AS59" si="724">_xlfn.RANK.EQ(AP59, AP$7:AP$375,0)</f>
        <v>65</v>
      </c>
      <c r="AR59" s="2">
        <v>99</v>
      </c>
      <c r="AS59" s="2">
        <f t="shared" si="724"/>
        <v>130</v>
      </c>
      <c r="AT59" s="2">
        <v>66</v>
      </c>
      <c r="AU59" s="2">
        <f t="shared" ref="AU59:AW59" si="725">_xlfn.RANK.EQ(AT59, AT$7:AT$375,0)</f>
        <v>106</v>
      </c>
      <c r="AV59" s="2">
        <v>33</v>
      </c>
      <c r="AW59" s="2">
        <f t="shared" si="725"/>
        <v>133</v>
      </c>
      <c r="AX59" s="2">
        <v>38</v>
      </c>
      <c r="AY59" s="2">
        <f t="shared" ref="AY59:BA59" si="726">_xlfn.RANK.EQ(AX59, AX$7:AX$375,0)</f>
        <v>26</v>
      </c>
      <c r="AZ59" s="2">
        <v>19</v>
      </c>
      <c r="BA59" s="2">
        <f t="shared" si="726"/>
        <v>52</v>
      </c>
      <c r="BB59" s="2">
        <v>76</v>
      </c>
      <c r="BC59" s="2">
        <f t="shared" ref="BC59:BE59" si="727">_xlfn.RANK.EQ(BB59, BB$7:BB$375,0)</f>
        <v>202</v>
      </c>
      <c r="BD59" s="2">
        <v>261</v>
      </c>
      <c r="BE59" s="2">
        <f t="shared" si="727"/>
        <v>15</v>
      </c>
      <c r="BF59" s="2">
        <v>961</v>
      </c>
      <c r="BG59" s="2">
        <f t="shared" ref="BG59:BI59" si="728">_xlfn.RANK.EQ(BF59, BF$7:BF$375,0)</f>
        <v>47</v>
      </c>
      <c r="BH59" s="2">
        <v>179</v>
      </c>
      <c r="BI59" s="2">
        <f t="shared" si="728"/>
        <v>51</v>
      </c>
    </row>
    <row r="60" spans="1:61" x14ac:dyDescent="0.55000000000000004">
      <c r="A60" s="2">
        <v>54</v>
      </c>
      <c r="B60" s="2" t="s">
        <v>109</v>
      </c>
      <c r="C60" s="2" t="s">
        <v>69</v>
      </c>
      <c r="D60" s="2">
        <v>60</v>
      </c>
      <c r="E60" s="2">
        <f t="shared" si="0"/>
        <v>1</v>
      </c>
      <c r="F60" s="2">
        <v>41</v>
      </c>
      <c r="G60" s="2">
        <f t="shared" ref="G60:I60" si="729">_xlfn.RANK.EQ(F60, F$7:F$375,0)</f>
        <v>80</v>
      </c>
      <c r="H60" s="3">
        <v>55.825000000000003</v>
      </c>
      <c r="I60" s="2">
        <f t="shared" si="729"/>
        <v>80</v>
      </c>
      <c r="J60" s="5">
        <v>0.92986111111111114</v>
      </c>
      <c r="K60" s="2">
        <f t="shared" ref="K60:M60" si="730">_xlfn.RANK.EQ(J60, J$7:J$375,0)</f>
        <v>116</v>
      </c>
      <c r="L60" s="2">
        <v>716</v>
      </c>
      <c r="M60" s="2">
        <f t="shared" si="730"/>
        <v>54</v>
      </c>
      <c r="N60" s="2">
        <v>251</v>
      </c>
      <c r="O60" s="2">
        <f t="shared" ref="O60:Q60" si="731">_xlfn.RANK.EQ(N60, N$7:N$375,0)</f>
        <v>59</v>
      </c>
      <c r="P60" s="2">
        <v>558</v>
      </c>
      <c r="Q60" s="2">
        <f t="shared" si="731"/>
        <v>48</v>
      </c>
      <c r="R60" s="4">
        <v>0.45</v>
      </c>
      <c r="S60" s="2">
        <f t="shared" ref="S60:U60" si="732">_xlfn.RANK.EQ(R60, R$7:R$375,0)</f>
        <v>122</v>
      </c>
      <c r="T60" s="2">
        <v>157</v>
      </c>
      <c r="U60" s="2">
        <f t="shared" si="732"/>
        <v>67</v>
      </c>
      <c r="V60" s="2">
        <v>306</v>
      </c>
      <c r="W60" s="2">
        <f t="shared" ref="W60:Y60" si="733">_xlfn.RANK.EQ(V60, V$7:V$375,0)</f>
        <v>64</v>
      </c>
      <c r="X60" s="4">
        <v>0.51300000000000001</v>
      </c>
      <c r="Y60" s="2">
        <f t="shared" si="733"/>
        <v>161</v>
      </c>
      <c r="Z60" s="2">
        <v>94</v>
      </c>
      <c r="AA60" s="2">
        <f t="shared" ref="AA60:AC60" si="734">_xlfn.RANK.EQ(Z60, Z$7:Z$375,0)</f>
        <v>42</v>
      </c>
      <c r="AB60" s="2">
        <v>252</v>
      </c>
      <c r="AC60" s="2">
        <f t="shared" si="734"/>
        <v>46</v>
      </c>
      <c r="AD60" s="4">
        <v>0.373</v>
      </c>
      <c r="AE60" s="2">
        <f t="shared" ref="AE60:AG60" si="735">_xlfn.RANK.EQ(AD60, AD$7:AD$375,0)</f>
        <v>76</v>
      </c>
      <c r="AF60" s="2">
        <v>120</v>
      </c>
      <c r="AG60" s="2">
        <f t="shared" si="735"/>
        <v>55</v>
      </c>
      <c r="AH60" s="2">
        <v>144</v>
      </c>
      <c r="AI60" s="2">
        <f t="shared" ref="AI60:AK60" si="736">_xlfn.RANK.EQ(AH60, AH$7:AH$375,0)</f>
        <v>64</v>
      </c>
      <c r="AJ60" s="4">
        <v>0.83299999999999996</v>
      </c>
      <c r="AK60" s="2">
        <f t="shared" si="736"/>
        <v>50</v>
      </c>
      <c r="AL60" s="2">
        <v>19</v>
      </c>
      <c r="AM60" s="2">
        <f t="shared" ref="AM60:AO60" si="737">_xlfn.RANK.EQ(AL60, AL$7:AL$375,0)</f>
        <v>205</v>
      </c>
      <c r="AN60" s="2">
        <v>91</v>
      </c>
      <c r="AO60" s="2">
        <f t="shared" si="737"/>
        <v>120</v>
      </c>
      <c r="AP60" s="2">
        <v>110</v>
      </c>
      <c r="AQ60" s="2">
        <f t="shared" ref="AQ60:AS60" si="738">_xlfn.RANK.EQ(AP60, AP$7:AP$375,0)</f>
        <v>144</v>
      </c>
      <c r="AR60" s="2">
        <v>194</v>
      </c>
      <c r="AS60" s="2">
        <f t="shared" si="738"/>
        <v>39</v>
      </c>
      <c r="AT60" s="2">
        <v>96</v>
      </c>
      <c r="AU60" s="2">
        <f t="shared" ref="AU60:AW60" si="739">_xlfn.RANK.EQ(AT60, AT$7:AT$375,0)</f>
        <v>53</v>
      </c>
      <c r="AV60" s="2">
        <v>47</v>
      </c>
      <c r="AW60" s="2">
        <f t="shared" si="739"/>
        <v>73</v>
      </c>
      <c r="AX60" s="2">
        <v>5</v>
      </c>
      <c r="AY60" s="2">
        <f t="shared" ref="AY60:BA60" si="740">_xlfn.RANK.EQ(AX60, AX$7:AX$375,0)</f>
        <v>169</v>
      </c>
      <c r="AZ60" s="2">
        <v>21</v>
      </c>
      <c r="BA60" s="2">
        <f t="shared" si="740"/>
        <v>41</v>
      </c>
      <c r="BB60" s="2">
        <v>134</v>
      </c>
      <c r="BC60" s="2">
        <f t="shared" ref="BC60:BE60" si="741">_xlfn.RANK.EQ(BB60, BB$7:BB$375,0)</f>
        <v>47</v>
      </c>
      <c r="BD60" s="2">
        <v>166</v>
      </c>
      <c r="BE60" s="2">
        <f t="shared" si="741"/>
        <v>61</v>
      </c>
      <c r="BF60" s="2">
        <v>656</v>
      </c>
      <c r="BG60" s="2">
        <f t="shared" ref="BG60:BI60" si="742">_xlfn.RANK.EQ(BF60, BF$7:BF$375,0)</f>
        <v>76</v>
      </c>
      <c r="BH60" s="2">
        <v>146</v>
      </c>
      <c r="BI60" s="2">
        <f t="shared" si="742"/>
        <v>67</v>
      </c>
    </row>
    <row r="61" spans="1:61" x14ac:dyDescent="0.55000000000000004">
      <c r="A61" s="2">
        <v>55</v>
      </c>
      <c r="B61" s="2" t="s">
        <v>110</v>
      </c>
      <c r="C61" s="2" t="s">
        <v>46</v>
      </c>
      <c r="D61" s="2">
        <v>55</v>
      </c>
      <c r="E61" s="2">
        <f t="shared" si="0"/>
        <v>139</v>
      </c>
      <c r="F61" s="2">
        <v>35</v>
      </c>
      <c r="G61" s="2">
        <f t="shared" ref="G61:I61" si="743">_xlfn.RANK.EQ(F61, F$7:F$375,0)</f>
        <v>101</v>
      </c>
      <c r="H61" s="3">
        <v>59.478472222222223</v>
      </c>
      <c r="I61" s="2">
        <f t="shared" si="743"/>
        <v>57</v>
      </c>
      <c r="J61" s="3">
        <v>1.08125</v>
      </c>
      <c r="K61" s="2">
        <f t="shared" ref="K61:M61" si="744">_xlfn.RANK.EQ(J61, J$7:J$375,0)</f>
        <v>66</v>
      </c>
      <c r="L61" s="2">
        <v>690</v>
      </c>
      <c r="M61" s="2">
        <f t="shared" si="744"/>
        <v>55</v>
      </c>
      <c r="N61" s="2">
        <v>219</v>
      </c>
      <c r="O61" s="2">
        <f t="shared" ref="O61:Q61" si="745">_xlfn.RANK.EQ(N61, N$7:N$375,0)</f>
        <v>73</v>
      </c>
      <c r="P61" s="2">
        <v>550</v>
      </c>
      <c r="Q61" s="2">
        <f t="shared" si="745"/>
        <v>56</v>
      </c>
      <c r="R61" s="4">
        <v>0.39800000000000002</v>
      </c>
      <c r="S61" s="2">
        <f t="shared" ref="S61:U61" si="746">_xlfn.RANK.EQ(R61, R$7:R$375,0)</f>
        <v>206</v>
      </c>
      <c r="T61" s="2">
        <v>114</v>
      </c>
      <c r="U61" s="2">
        <f t="shared" si="746"/>
        <v>98</v>
      </c>
      <c r="V61" s="2">
        <v>214</v>
      </c>
      <c r="W61" s="2">
        <f t="shared" ref="W61:Y61" si="747">_xlfn.RANK.EQ(V61, V$7:V$375,0)</f>
        <v>100</v>
      </c>
      <c r="X61" s="4">
        <v>0.53300000000000003</v>
      </c>
      <c r="Y61" s="2">
        <f t="shared" si="747"/>
        <v>134</v>
      </c>
      <c r="Z61" s="2">
        <v>105</v>
      </c>
      <c r="AA61" s="2">
        <f t="shared" ref="AA61:AC61" si="748">_xlfn.RANK.EQ(Z61, Z$7:Z$375,0)</f>
        <v>30</v>
      </c>
      <c r="AB61" s="2">
        <v>336</v>
      </c>
      <c r="AC61" s="2">
        <f t="shared" si="748"/>
        <v>18</v>
      </c>
      <c r="AD61" s="4">
        <v>0.313</v>
      </c>
      <c r="AE61" s="2">
        <f t="shared" ref="AE61:AG61" si="749">_xlfn.RANK.EQ(AD61, AD$7:AD$375,0)</f>
        <v>195</v>
      </c>
      <c r="AF61" s="2">
        <v>147</v>
      </c>
      <c r="AG61" s="2">
        <f t="shared" si="749"/>
        <v>33</v>
      </c>
      <c r="AH61" s="2">
        <v>176</v>
      </c>
      <c r="AI61" s="2">
        <f t="shared" ref="AI61:AK61" si="750">_xlfn.RANK.EQ(AH61, AH$7:AH$375,0)</f>
        <v>48</v>
      </c>
      <c r="AJ61" s="4">
        <v>0.83499999999999996</v>
      </c>
      <c r="AK61" s="2">
        <f t="shared" si="750"/>
        <v>46</v>
      </c>
      <c r="AL61" s="2">
        <v>48</v>
      </c>
      <c r="AM61" s="2">
        <f t="shared" ref="AM61:AO61" si="751">_xlfn.RANK.EQ(AL61, AL$7:AL$375,0)</f>
        <v>95</v>
      </c>
      <c r="AN61" s="2">
        <v>138</v>
      </c>
      <c r="AO61" s="2">
        <f t="shared" si="751"/>
        <v>88</v>
      </c>
      <c r="AP61" s="2">
        <v>186</v>
      </c>
      <c r="AQ61" s="2">
        <f t="shared" ref="AQ61:AS61" si="752">_xlfn.RANK.EQ(AP61, AP$7:AP$375,0)</f>
        <v>86</v>
      </c>
      <c r="AR61" s="2">
        <v>114</v>
      </c>
      <c r="AS61" s="2">
        <f t="shared" si="752"/>
        <v>103</v>
      </c>
      <c r="AT61" s="2">
        <v>91</v>
      </c>
      <c r="AU61" s="2">
        <f t="shared" ref="AU61:AW61" si="753">_xlfn.RANK.EQ(AT61, AT$7:AT$375,0)</f>
        <v>61</v>
      </c>
      <c r="AV61" s="2">
        <v>48</v>
      </c>
      <c r="AW61" s="2">
        <f t="shared" si="753"/>
        <v>67</v>
      </c>
      <c r="AX61" s="2">
        <v>7</v>
      </c>
      <c r="AY61" s="2">
        <f t="shared" ref="AY61:BA61" si="754">_xlfn.RANK.EQ(AX61, AX$7:AX$375,0)</f>
        <v>138</v>
      </c>
      <c r="AZ61" s="2">
        <v>24</v>
      </c>
      <c r="BA61" s="2">
        <f t="shared" si="754"/>
        <v>29</v>
      </c>
      <c r="BB61" s="2">
        <v>132</v>
      </c>
      <c r="BC61" s="2">
        <f t="shared" ref="BC61:BE61" si="755">_xlfn.RANK.EQ(BB61, BB$7:BB$375,0)</f>
        <v>53</v>
      </c>
      <c r="BD61" s="2">
        <v>195</v>
      </c>
      <c r="BE61" s="2">
        <f t="shared" si="755"/>
        <v>46</v>
      </c>
      <c r="BF61" s="2">
        <v>631</v>
      </c>
      <c r="BG61" s="2">
        <f t="shared" ref="BG61:BI61" si="756">_xlfn.RANK.EQ(BF61, BF$7:BF$375,0)</f>
        <v>83</v>
      </c>
      <c r="BH61" s="2">
        <v>12</v>
      </c>
      <c r="BI61" s="2">
        <f t="shared" si="756"/>
        <v>127</v>
      </c>
    </row>
    <row r="62" spans="1:61" x14ac:dyDescent="0.55000000000000004">
      <c r="A62" s="2">
        <v>56</v>
      </c>
      <c r="B62" s="2" t="s">
        <v>111</v>
      </c>
      <c r="C62" s="2" t="s">
        <v>42</v>
      </c>
      <c r="D62" s="2">
        <v>55</v>
      </c>
      <c r="E62" s="2">
        <f t="shared" si="0"/>
        <v>139</v>
      </c>
      <c r="F62" s="2">
        <v>54</v>
      </c>
      <c r="G62" s="2">
        <f t="shared" ref="G62:I62" si="757">_xlfn.RANK.EQ(F62, F$7:F$375,0)</f>
        <v>34</v>
      </c>
      <c r="H62" s="3">
        <v>62.699305555555554</v>
      </c>
      <c r="I62" s="2">
        <f t="shared" si="757"/>
        <v>45</v>
      </c>
      <c r="J62" s="3">
        <v>1.1395833333333334</v>
      </c>
      <c r="K62" s="2">
        <f t="shared" ref="K62:M62" si="758">_xlfn.RANK.EQ(J62, J$7:J$375,0)</f>
        <v>43</v>
      </c>
      <c r="L62" s="2">
        <v>684</v>
      </c>
      <c r="M62" s="2">
        <f t="shared" si="758"/>
        <v>56</v>
      </c>
      <c r="N62" s="2">
        <v>232</v>
      </c>
      <c r="O62" s="2">
        <f t="shared" ref="O62:Q62" si="759">_xlfn.RANK.EQ(N62, N$7:N$375,0)</f>
        <v>68</v>
      </c>
      <c r="P62" s="2">
        <v>455</v>
      </c>
      <c r="Q62" s="2">
        <f t="shared" si="759"/>
        <v>76</v>
      </c>
      <c r="R62" s="4">
        <v>0.51</v>
      </c>
      <c r="S62" s="2">
        <f t="shared" ref="S62:U62" si="760">_xlfn.RANK.EQ(R62, R$7:R$375,0)</f>
        <v>61</v>
      </c>
      <c r="T62" s="2">
        <v>139</v>
      </c>
      <c r="U62" s="2">
        <f t="shared" si="760"/>
        <v>76</v>
      </c>
      <c r="V62" s="2">
        <v>218</v>
      </c>
      <c r="W62" s="2">
        <f t="shared" ref="W62:Y62" si="761">_xlfn.RANK.EQ(V62, V$7:V$375,0)</f>
        <v>97</v>
      </c>
      <c r="X62" s="4">
        <v>0.63800000000000001</v>
      </c>
      <c r="Y62" s="2">
        <f t="shared" si="761"/>
        <v>27</v>
      </c>
      <c r="Z62" s="2">
        <v>93</v>
      </c>
      <c r="AA62" s="2">
        <f t="shared" ref="AA62:AC62" si="762">_xlfn.RANK.EQ(Z62, Z$7:Z$375,0)</f>
        <v>43</v>
      </c>
      <c r="AB62" s="2">
        <v>237</v>
      </c>
      <c r="AC62" s="2">
        <f t="shared" si="762"/>
        <v>54</v>
      </c>
      <c r="AD62" s="4">
        <v>0.39200000000000002</v>
      </c>
      <c r="AE62" s="2">
        <f t="shared" ref="AE62:AG62" si="763">_xlfn.RANK.EQ(AD62, AD$7:AD$375,0)</f>
        <v>48</v>
      </c>
      <c r="AF62" s="2">
        <v>127</v>
      </c>
      <c r="AG62" s="2">
        <f t="shared" si="763"/>
        <v>47</v>
      </c>
      <c r="AH62" s="2">
        <v>187</v>
      </c>
      <c r="AI62" s="2">
        <f t="shared" ref="AI62:AK62" si="764">_xlfn.RANK.EQ(AH62, AH$7:AH$375,0)</f>
        <v>39</v>
      </c>
      <c r="AJ62" s="4">
        <v>0.67900000000000005</v>
      </c>
      <c r="AK62" s="2">
        <f t="shared" si="764"/>
        <v>220</v>
      </c>
      <c r="AL62" s="2">
        <v>121</v>
      </c>
      <c r="AM62" s="2">
        <f t="shared" ref="AM62:AO62" si="765">_xlfn.RANK.EQ(AL62, AL$7:AL$375,0)</f>
        <v>28</v>
      </c>
      <c r="AN62" s="2">
        <v>240</v>
      </c>
      <c r="AO62" s="2">
        <f t="shared" si="765"/>
        <v>51</v>
      </c>
      <c r="AP62" s="2">
        <v>361</v>
      </c>
      <c r="AQ62" s="2">
        <f t="shared" ref="AQ62:AS62" si="766">_xlfn.RANK.EQ(AP62, AP$7:AP$375,0)</f>
        <v>37</v>
      </c>
      <c r="AR62" s="2">
        <v>89</v>
      </c>
      <c r="AS62" s="2">
        <f t="shared" si="766"/>
        <v>148</v>
      </c>
      <c r="AT62" s="2">
        <v>79</v>
      </c>
      <c r="AU62" s="2">
        <f t="shared" ref="AU62:AW62" si="767">_xlfn.RANK.EQ(AT62, AT$7:AT$375,0)</f>
        <v>82</v>
      </c>
      <c r="AV62" s="2">
        <v>39</v>
      </c>
      <c r="AW62" s="2">
        <f t="shared" si="767"/>
        <v>111</v>
      </c>
      <c r="AX62" s="2">
        <v>46</v>
      </c>
      <c r="AY62" s="2">
        <f t="shared" ref="AY62:BA62" si="768">_xlfn.RANK.EQ(AX62, AX$7:AX$375,0)</f>
        <v>11</v>
      </c>
      <c r="AZ62" s="2">
        <v>14</v>
      </c>
      <c r="BA62" s="2">
        <f t="shared" si="768"/>
        <v>104</v>
      </c>
      <c r="BB62" s="2">
        <v>136</v>
      </c>
      <c r="BC62" s="2">
        <f t="shared" ref="BC62:BE62" si="769">_xlfn.RANK.EQ(BB62, BB$7:BB$375,0)</f>
        <v>42</v>
      </c>
      <c r="BD62" s="2">
        <v>210</v>
      </c>
      <c r="BE62" s="2">
        <f t="shared" si="769"/>
        <v>31</v>
      </c>
      <c r="BF62" s="2">
        <v>916</v>
      </c>
      <c r="BG62" s="2">
        <f t="shared" ref="BG62:BI62" si="770">_xlfn.RANK.EQ(BF62, BF$7:BF$375,0)</f>
        <v>55</v>
      </c>
      <c r="BH62" s="2">
        <v>354</v>
      </c>
      <c r="BI62" s="2">
        <f t="shared" si="770"/>
        <v>14</v>
      </c>
    </row>
    <row r="63" spans="1:61" x14ac:dyDescent="0.55000000000000004">
      <c r="A63" s="2">
        <v>57</v>
      </c>
      <c r="B63" s="2" t="s">
        <v>112</v>
      </c>
      <c r="C63" s="2" t="s">
        <v>113</v>
      </c>
      <c r="D63" s="2">
        <v>35</v>
      </c>
      <c r="E63" s="2">
        <f t="shared" si="0"/>
        <v>270</v>
      </c>
      <c r="F63" s="2">
        <v>35</v>
      </c>
      <c r="G63" s="2">
        <f t="shared" ref="G63:I63" si="771">_xlfn.RANK.EQ(F63, F$7:F$375,0)</f>
        <v>101</v>
      </c>
      <c r="H63" s="3">
        <v>42.696527777777774</v>
      </c>
      <c r="I63" s="2">
        <f t="shared" si="771"/>
        <v>138</v>
      </c>
      <c r="J63" s="3">
        <v>1.2194444444444446</v>
      </c>
      <c r="K63" s="2">
        <f t="shared" ref="K63:M63" si="772">_xlfn.RANK.EQ(J63, J$7:J$375,0)</f>
        <v>22</v>
      </c>
      <c r="L63" s="2">
        <v>678</v>
      </c>
      <c r="M63" s="2">
        <f t="shared" si="772"/>
        <v>57</v>
      </c>
      <c r="N63" s="2">
        <v>217</v>
      </c>
      <c r="O63" s="2">
        <f t="shared" ref="O63:Q63" si="773">_xlfn.RANK.EQ(N63, N$7:N$375,0)</f>
        <v>74</v>
      </c>
      <c r="P63" s="2">
        <v>369</v>
      </c>
      <c r="Q63" s="2">
        <f t="shared" si="773"/>
        <v>104</v>
      </c>
      <c r="R63" s="4">
        <v>0.58799999999999997</v>
      </c>
      <c r="S63" s="2">
        <f t="shared" ref="S63:U63" si="774">_xlfn.RANK.EQ(R63, R$7:R$375,0)</f>
        <v>22</v>
      </c>
      <c r="T63" s="2">
        <v>187</v>
      </c>
      <c r="U63" s="2">
        <f t="shared" si="774"/>
        <v>56</v>
      </c>
      <c r="V63" s="2">
        <v>286</v>
      </c>
      <c r="W63" s="2">
        <f t="shared" ref="W63:Y63" si="775">_xlfn.RANK.EQ(V63, V$7:V$375,0)</f>
        <v>70</v>
      </c>
      <c r="X63" s="4">
        <v>0.65400000000000003</v>
      </c>
      <c r="Y63" s="2">
        <f t="shared" si="775"/>
        <v>20</v>
      </c>
      <c r="Z63" s="2">
        <v>30</v>
      </c>
      <c r="AA63" s="2">
        <f t="shared" ref="AA63:AC63" si="776">_xlfn.RANK.EQ(Z63, Z$7:Z$375,0)</f>
        <v>174</v>
      </c>
      <c r="AB63" s="2">
        <v>83</v>
      </c>
      <c r="AC63" s="2">
        <f t="shared" si="776"/>
        <v>190</v>
      </c>
      <c r="AD63" s="4">
        <v>0.36099999999999999</v>
      </c>
      <c r="AE63" s="2">
        <f t="shared" ref="AE63:AG63" si="777">_xlfn.RANK.EQ(AD63, AD$7:AD$375,0)</f>
        <v>97</v>
      </c>
      <c r="AF63" s="2">
        <v>214</v>
      </c>
      <c r="AG63" s="2">
        <f t="shared" si="777"/>
        <v>9</v>
      </c>
      <c r="AH63" s="2">
        <v>237</v>
      </c>
      <c r="AI63" s="2">
        <f t="shared" ref="AI63:AK63" si="778">_xlfn.RANK.EQ(AH63, AH$7:AH$375,0)</f>
        <v>20</v>
      </c>
      <c r="AJ63" s="4">
        <v>0.90300000000000002</v>
      </c>
      <c r="AK63" s="2">
        <f t="shared" si="778"/>
        <v>17</v>
      </c>
      <c r="AL63" s="2">
        <v>70</v>
      </c>
      <c r="AM63" s="2">
        <f t="shared" ref="AM63:AO63" si="779">_xlfn.RANK.EQ(AL63, AL$7:AL$375,0)</f>
        <v>58</v>
      </c>
      <c r="AN63" s="2">
        <v>157</v>
      </c>
      <c r="AO63" s="2">
        <f t="shared" si="779"/>
        <v>80</v>
      </c>
      <c r="AP63" s="2">
        <v>227</v>
      </c>
      <c r="AQ63" s="2">
        <f t="shared" ref="AQ63:AS63" si="780">_xlfn.RANK.EQ(AP63, AP$7:AP$375,0)</f>
        <v>80</v>
      </c>
      <c r="AR63" s="2">
        <v>179</v>
      </c>
      <c r="AS63" s="2">
        <f t="shared" si="780"/>
        <v>54</v>
      </c>
      <c r="AT63" s="2">
        <v>77</v>
      </c>
      <c r="AU63" s="2">
        <f t="shared" ref="AU63:AW63" si="781">_xlfn.RANK.EQ(AT63, AT$7:AT$375,0)</f>
        <v>84</v>
      </c>
      <c r="AV63" s="2">
        <v>46</v>
      </c>
      <c r="AW63" s="2">
        <f t="shared" si="781"/>
        <v>79</v>
      </c>
      <c r="AX63" s="2">
        <v>7</v>
      </c>
      <c r="AY63" s="2">
        <f t="shared" ref="AY63:BA63" si="782">_xlfn.RANK.EQ(AX63, AX$7:AX$375,0)</f>
        <v>138</v>
      </c>
      <c r="AZ63" s="2">
        <v>8</v>
      </c>
      <c r="BA63" s="2">
        <f t="shared" si="782"/>
        <v>181</v>
      </c>
      <c r="BB63" s="2">
        <v>41</v>
      </c>
      <c r="BC63" s="2">
        <f t="shared" ref="BC63:BE63" si="783">_xlfn.RANK.EQ(BB63, BB$7:BB$375,0)</f>
        <v>283</v>
      </c>
      <c r="BD63" s="2">
        <v>205</v>
      </c>
      <c r="BE63" s="2">
        <f t="shared" si="783"/>
        <v>36</v>
      </c>
      <c r="BF63" s="2">
        <v>1040</v>
      </c>
      <c r="BG63" s="2">
        <f t="shared" ref="BG63:BI63" si="784">_xlfn.RANK.EQ(BF63, BF$7:BF$375,0)</f>
        <v>33</v>
      </c>
      <c r="BH63" s="2">
        <v>-51</v>
      </c>
      <c r="BI63" s="2">
        <f t="shared" si="784"/>
        <v>234</v>
      </c>
    </row>
    <row r="64" spans="1:61" x14ac:dyDescent="0.55000000000000004">
      <c r="A64" s="2">
        <v>58</v>
      </c>
      <c r="B64" s="2" t="s">
        <v>114</v>
      </c>
      <c r="C64" s="2" t="s">
        <v>106</v>
      </c>
      <c r="D64" s="2">
        <v>58</v>
      </c>
      <c r="E64" s="2">
        <f t="shared" si="0"/>
        <v>78</v>
      </c>
      <c r="F64" s="2">
        <v>35</v>
      </c>
      <c r="G64" s="2">
        <f t="shared" ref="G64:I64" si="785">_xlfn.RANK.EQ(F64, F$7:F$375,0)</f>
        <v>101</v>
      </c>
      <c r="H64" s="3">
        <v>55.494444444444447</v>
      </c>
      <c r="I64" s="2">
        <f t="shared" si="785"/>
        <v>83</v>
      </c>
      <c r="J64" s="5">
        <v>0.95625000000000004</v>
      </c>
      <c r="K64" s="2">
        <f t="shared" ref="K64:M64" si="786">_xlfn.RANK.EQ(J64, J$7:J$375,0)</f>
        <v>106</v>
      </c>
      <c r="L64" s="2">
        <v>677</v>
      </c>
      <c r="M64" s="2">
        <f t="shared" si="786"/>
        <v>58</v>
      </c>
      <c r="N64" s="2">
        <v>271</v>
      </c>
      <c r="O64" s="2">
        <f t="shared" ref="O64:Q64" si="787">_xlfn.RANK.EQ(N64, N$7:N$375,0)</f>
        <v>45</v>
      </c>
      <c r="P64" s="2">
        <v>446</v>
      </c>
      <c r="Q64" s="2">
        <f t="shared" si="787"/>
        <v>80</v>
      </c>
      <c r="R64" s="4">
        <v>0.60799999999999998</v>
      </c>
      <c r="S64" s="2">
        <f t="shared" ref="S64:U64" si="788">_xlfn.RANK.EQ(R64, R$7:R$375,0)</f>
        <v>13</v>
      </c>
      <c r="T64" s="2">
        <v>254</v>
      </c>
      <c r="U64" s="2">
        <f t="shared" si="788"/>
        <v>27</v>
      </c>
      <c r="V64" s="2">
        <v>398</v>
      </c>
      <c r="W64" s="2">
        <f t="shared" ref="W64:Y64" si="789">_xlfn.RANK.EQ(V64, V$7:V$375,0)</f>
        <v>37</v>
      </c>
      <c r="X64" s="4">
        <v>0.63800000000000001</v>
      </c>
      <c r="Y64" s="2">
        <f t="shared" si="789"/>
        <v>27</v>
      </c>
      <c r="Z64" s="2">
        <v>17</v>
      </c>
      <c r="AA64" s="2">
        <f t="shared" ref="AA64:AC64" si="790">_xlfn.RANK.EQ(Z64, Z$7:Z$375,0)</f>
        <v>221</v>
      </c>
      <c r="AB64" s="2">
        <v>48</v>
      </c>
      <c r="AC64" s="2">
        <f t="shared" si="790"/>
        <v>239</v>
      </c>
      <c r="AD64" s="4">
        <v>0.35399999999999998</v>
      </c>
      <c r="AE64" s="2">
        <f t="shared" ref="AE64:AG64" si="791">_xlfn.RANK.EQ(AD64, AD$7:AD$375,0)</f>
        <v>109</v>
      </c>
      <c r="AF64" s="2">
        <v>118</v>
      </c>
      <c r="AG64" s="2">
        <f t="shared" si="791"/>
        <v>56</v>
      </c>
      <c r="AH64" s="2">
        <v>180</v>
      </c>
      <c r="AI64" s="2">
        <f t="shared" ref="AI64:AK64" si="792">_xlfn.RANK.EQ(AH64, AH$7:AH$375,0)</f>
        <v>43</v>
      </c>
      <c r="AJ64" s="4">
        <v>0.65600000000000003</v>
      </c>
      <c r="AK64" s="2">
        <f t="shared" si="792"/>
        <v>243</v>
      </c>
      <c r="AL64" s="2">
        <v>162</v>
      </c>
      <c r="AM64" s="2">
        <f t="shared" ref="AM64:AO64" si="793">_xlfn.RANK.EQ(AL64, AL$7:AL$375,0)</f>
        <v>13</v>
      </c>
      <c r="AN64" s="2">
        <v>294</v>
      </c>
      <c r="AO64" s="2">
        <f t="shared" si="793"/>
        <v>23</v>
      </c>
      <c r="AP64" s="2">
        <v>456</v>
      </c>
      <c r="AQ64" s="2">
        <f t="shared" ref="AQ64:AS64" si="794">_xlfn.RANK.EQ(AP64, AP$7:AP$375,0)</f>
        <v>13</v>
      </c>
      <c r="AR64" s="2">
        <v>83</v>
      </c>
      <c r="AS64" s="2">
        <f t="shared" si="794"/>
        <v>157</v>
      </c>
      <c r="AT64" s="2">
        <v>85</v>
      </c>
      <c r="AU64" s="2">
        <f t="shared" ref="AU64:AW64" si="795">_xlfn.RANK.EQ(AT64, AT$7:AT$375,0)</f>
        <v>71</v>
      </c>
      <c r="AV64" s="2">
        <v>29</v>
      </c>
      <c r="AW64" s="2">
        <f t="shared" si="795"/>
        <v>154</v>
      </c>
      <c r="AX64" s="2">
        <v>64</v>
      </c>
      <c r="AY64" s="2">
        <f t="shared" ref="AY64:BA64" si="796">_xlfn.RANK.EQ(AX64, AX$7:AX$375,0)</f>
        <v>3</v>
      </c>
      <c r="AZ64" s="2">
        <v>15</v>
      </c>
      <c r="BA64" s="2">
        <f t="shared" si="796"/>
        <v>87</v>
      </c>
      <c r="BB64" s="2">
        <v>143</v>
      </c>
      <c r="BC64" s="2">
        <f t="shared" ref="BC64:BE64" si="797">_xlfn.RANK.EQ(BB64, BB$7:BB$375,0)</f>
        <v>30</v>
      </c>
      <c r="BD64" s="2">
        <v>197</v>
      </c>
      <c r="BE64" s="2">
        <f t="shared" si="797"/>
        <v>43</v>
      </c>
      <c r="BF64" s="2">
        <v>1021</v>
      </c>
      <c r="BG64" s="2">
        <f t="shared" ref="BG64:BI64" si="798">_xlfn.RANK.EQ(BF64, BF$7:BF$375,0)</f>
        <v>38</v>
      </c>
      <c r="BH64" s="2">
        <v>-118</v>
      </c>
      <c r="BI64" s="2">
        <f t="shared" si="798"/>
        <v>297</v>
      </c>
    </row>
    <row r="65" spans="1:61" x14ac:dyDescent="0.55000000000000004">
      <c r="A65" s="2">
        <v>59</v>
      </c>
      <c r="B65" s="2" t="s">
        <v>115</v>
      </c>
      <c r="C65" s="2" t="s">
        <v>32</v>
      </c>
      <c r="D65" s="2">
        <v>56</v>
      </c>
      <c r="E65" s="2">
        <f t="shared" si="0"/>
        <v>124</v>
      </c>
      <c r="F65" s="2">
        <v>56</v>
      </c>
      <c r="G65" s="2">
        <f t="shared" ref="G65:I65" si="799">_xlfn.RANK.EQ(F65, F$7:F$375,0)</f>
        <v>29</v>
      </c>
      <c r="H65" s="3">
        <v>62.274305555555557</v>
      </c>
      <c r="I65" s="2">
        <f t="shared" si="799"/>
        <v>48</v>
      </c>
      <c r="J65" s="3">
        <v>1.1118055555555555</v>
      </c>
      <c r="K65" s="2">
        <f t="shared" ref="K65:M65" si="800">_xlfn.RANK.EQ(J65, J$7:J$375,0)</f>
        <v>53</v>
      </c>
      <c r="L65" s="2">
        <v>672</v>
      </c>
      <c r="M65" s="2">
        <f t="shared" si="800"/>
        <v>59</v>
      </c>
      <c r="N65" s="2">
        <v>267</v>
      </c>
      <c r="O65" s="2">
        <f t="shared" ref="O65:Q65" si="801">_xlfn.RANK.EQ(N65, N$7:N$375,0)</f>
        <v>49</v>
      </c>
      <c r="P65" s="2">
        <v>552</v>
      </c>
      <c r="Q65" s="2">
        <f t="shared" si="801"/>
        <v>55</v>
      </c>
      <c r="R65" s="4">
        <v>0.48399999999999999</v>
      </c>
      <c r="S65" s="2">
        <f t="shared" ref="S65:U65" si="802">_xlfn.RANK.EQ(R65, R$7:R$375,0)</f>
        <v>82</v>
      </c>
      <c r="T65" s="2">
        <v>203</v>
      </c>
      <c r="U65" s="2">
        <f t="shared" si="802"/>
        <v>45</v>
      </c>
      <c r="V65" s="2">
        <v>361</v>
      </c>
      <c r="W65" s="2">
        <f t="shared" ref="W65:Y65" si="803">_xlfn.RANK.EQ(V65, V$7:V$375,0)</f>
        <v>45</v>
      </c>
      <c r="X65" s="4">
        <v>0.56200000000000006</v>
      </c>
      <c r="Y65" s="2">
        <f t="shared" si="803"/>
        <v>92</v>
      </c>
      <c r="Z65" s="2">
        <v>64</v>
      </c>
      <c r="AA65" s="2">
        <f t="shared" ref="AA65:AC65" si="804">_xlfn.RANK.EQ(Z65, Z$7:Z$375,0)</f>
        <v>86</v>
      </c>
      <c r="AB65" s="2">
        <v>191</v>
      </c>
      <c r="AC65" s="2">
        <f t="shared" si="804"/>
        <v>84</v>
      </c>
      <c r="AD65" s="4">
        <v>0.33500000000000002</v>
      </c>
      <c r="AE65" s="2">
        <f t="shared" ref="AE65:AG65" si="805">_xlfn.RANK.EQ(AD65, AD$7:AD$375,0)</f>
        <v>147</v>
      </c>
      <c r="AF65" s="2">
        <v>74</v>
      </c>
      <c r="AG65" s="2">
        <f t="shared" si="805"/>
        <v>96</v>
      </c>
      <c r="AH65" s="2">
        <v>114</v>
      </c>
      <c r="AI65" s="2">
        <f t="shared" ref="AI65:AK65" si="806">_xlfn.RANK.EQ(AH65, AH$7:AH$375,0)</f>
        <v>85</v>
      </c>
      <c r="AJ65" s="4">
        <v>0.64900000000000002</v>
      </c>
      <c r="AK65" s="2">
        <f t="shared" si="806"/>
        <v>248</v>
      </c>
      <c r="AL65" s="2">
        <v>48</v>
      </c>
      <c r="AM65" s="2">
        <f t="shared" ref="AM65:AO65" si="807">_xlfn.RANK.EQ(AL65, AL$7:AL$375,0)</f>
        <v>95</v>
      </c>
      <c r="AN65" s="2">
        <v>227</v>
      </c>
      <c r="AO65" s="2">
        <f t="shared" si="807"/>
        <v>57</v>
      </c>
      <c r="AP65" s="2">
        <v>275</v>
      </c>
      <c r="AQ65" s="2">
        <f t="shared" ref="AQ65:AS65" si="808">_xlfn.RANK.EQ(AP65, AP$7:AP$375,0)</f>
        <v>70</v>
      </c>
      <c r="AR65" s="2">
        <v>314</v>
      </c>
      <c r="AS65" s="2">
        <f t="shared" si="808"/>
        <v>6</v>
      </c>
      <c r="AT65" s="2">
        <v>133</v>
      </c>
      <c r="AU65" s="2">
        <f t="shared" ref="AU65:AW65" si="809">_xlfn.RANK.EQ(AT65, AT$7:AT$375,0)</f>
        <v>11</v>
      </c>
      <c r="AV65" s="2">
        <v>89</v>
      </c>
      <c r="AW65" s="2">
        <f t="shared" si="809"/>
        <v>10</v>
      </c>
      <c r="AX65" s="2">
        <v>12</v>
      </c>
      <c r="AY65" s="2">
        <f t="shared" ref="AY65:BA65" si="810">_xlfn.RANK.EQ(AX65, AX$7:AX$375,0)</f>
        <v>88</v>
      </c>
      <c r="AZ65" s="2">
        <v>19</v>
      </c>
      <c r="BA65" s="2">
        <f t="shared" si="810"/>
        <v>52</v>
      </c>
      <c r="BB65" s="2">
        <v>136</v>
      </c>
      <c r="BC65" s="2">
        <f t="shared" ref="BC65:BE65" si="811">_xlfn.RANK.EQ(BB65, BB$7:BB$375,0)</f>
        <v>42</v>
      </c>
      <c r="BD65" s="2">
        <v>175</v>
      </c>
      <c r="BE65" s="2">
        <f t="shared" si="811"/>
        <v>55</v>
      </c>
      <c r="BF65" s="2">
        <v>924</v>
      </c>
      <c r="BG65" s="2">
        <f t="shared" ref="BG65:BI65" si="812">_xlfn.RANK.EQ(BF65, BF$7:BF$375,0)</f>
        <v>53</v>
      </c>
      <c r="BH65" s="2">
        <v>232</v>
      </c>
      <c r="BI65" s="2">
        <f t="shared" si="812"/>
        <v>40</v>
      </c>
    </row>
    <row r="66" spans="1:61" x14ac:dyDescent="0.55000000000000004">
      <c r="A66" s="2">
        <v>60</v>
      </c>
      <c r="B66" s="2" t="s">
        <v>116</v>
      </c>
      <c r="C66" s="2" t="s">
        <v>69</v>
      </c>
      <c r="D66" s="2">
        <v>54</v>
      </c>
      <c r="E66" s="2">
        <f t="shared" si="0"/>
        <v>155</v>
      </c>
      <c r="F66" s="2">
        <v>39</v>
      </c>
      <c r="G66" s="2">
        <f t="shared" ref="G66:I66" si="813">_xlfn.RANK.EQ(F66, F$7:F$375,0)</f>
        <v>86</v>
      </c>
      <c r="H66" s="3">
        <v>59.383333333333333</v>
      </c>
      <c r="I66" s="2">
        <f t="shared" si="813"/>
        <v>59</v>
      </c>
      <c r="J66" s="3">
        <v>1.0993055555555555</v>
      </c>
      <c r="K66" s="2">
        <f t="shared" ref="K66:M66" si="814">_xlfn.RANK.EQ(J66, J$7:J$375,0)</f>
        <v>60</v>
      </c>
      <c r="L66" s="2">
        <v>670</v>
      </c>
      <c r="M66" s="2">
        <f t="shared" si="814"/>
        <v>60</v>
      </c>
      <c r="N66" s="2">
        <v>247</v>
      </c>
      <c r="O66" s="2">
        <f t="shared" ref="O66:Q66" si="815">_xlfn.RANK.EQ(N66, N$7:N$375,0)</f>
        <v>62</v>
      </c>
      <c r="P66" s="2">
        <v>573</v>
      </c>
      <c r="Q66" s="2">
        <f t="shared" si="815"/>
        <v>46</v>
      </c>
      <c r="R66" s="4">
        <v>0.43099999999999999</v>
      </c>
      <c r="S66" s="2">
        <f t="shared" ref="S66:U66" si="816">_xlfn.RANK.EQ(R66, R$7:R$375,0)</f>
        <v>145</v>
      </c>
      <c r="T66" s="2">
        <v>132</v>
      </c>
      <c r="U66" s="2">
        <f t="shared" si="816"/>
        <v>81</v>
      </c>
      <c r="V66" s="2">
        <v>255</v>
      </c>
      <c r="W66" s="2">
        <f t="shared" ref="W66:Y66" si="817">_xlfn.RANK.EQ(V66, V$7:V$375,0)</f>
        <v>83</v>
      </c>
      <c r="X66" s="4">
        <v>0.51800000000000002</v>
      </c>
      <c r="Y66" s="2">
        <f t="shared" si="817"/>
        <v>155</v>
      </c>
      <c r="Z66" s="2">
        <v>115</v>
      </c>
      <c r="AA66" s="2">
        <f t="shared" ref="AA66:AC66" si="818">_xlfn.RANK.EQ(Z66, Z$7:Z$375,0)</f>
        <v>21</v>
      </c>
      <c r="AB66" s="2">
        <v>318</v>
      </c>
      <c r="AC66" s="2">
        <f t="shared" si="818"/>
        <v>24</v>
      </c>
      <c r="AD66" s="4">
        <v>0.36199999999999999</v>
      </c>
      <c r="AE66" s="2">
        <f t="shared" ref="AE66:AG66" si="819">_xlfn.RANK.EQ(AD66, AD$7:AD$375,0)</f>
        <v>94</v>
      </c>
      <c r="AF66" s="2">
        <v>61</v>
      </c>
      <c r="AG66" s="2">
        <f t="shared" si="819"/>
        <v>108</v>
      </c>
      <c r="AH66" s="2">
        <v>84</v>
      </c>
      <c r="AI66" s="2">
        <f t="shared" ref="AI66:AK66" si="820">_xlfn.RANK.EQ(AH66, AH$7:AH$375,0)</f>
        <v>109</v>
      </c>
      <c r="AJ66" s="4">
        <v>0.72599999999999998</v>
      </c>
      <c r="AK66" s="2">
        <f t="shared" si="820"/>
        <v>180</v>
      </c>
      <c r="AL66" s="2">
        <v>69</v>
      </c>
      <c r="AM66" s="2">
        <f t="shared" ref="AM66:AO66" si="821">_xlfn.RANK.EQ(AL66, AL$7:AL$375,0)</f>
        <v>60</v>
      </c>
      <c r="AN66" s="2">
        <v>260</v>
      </c>
      <c r="AO66" s="2">
        <f t="shared" si="821"/>
        <v>36</v>
      </c>
      <c r="AP66" s="2">
        <v>329</v>
      </c>
      <c r="AQ66" s="2">
        <f t="shared" ref="AQ66:AS66" si="822">_xlfn.RANK.EQ(AP66, AP$7:AP$375,0)</f>
        <v>51</v>
      </c>
      <c r="AR66" s="2">
        <v>103</v>
      </c>
      <c r="AS66" s="2">
        <f t="shared" si="822"/>
        <v>124</v>
      </c>
      <c r="AT66" s="2">
        <v>71</v>
      </c>
      <c r="AU66" s="2">
        <f t="shared" ref="AU66:AW66" si="823">_xlfn.RANK.EQ(AT66, AT$7:AT$375,0)</f>
        <v>92</v>
      </c>
      <c r="AV66" s="2">
        <v>71</v>
      </c>
      <c r="AW66" s="2">
        <f t="shared" si="823"/>
        <v>19</v>
      </c>
      <c r="AX66" s="2">
        <v>36</v>
      </c>
      <c r="AY66" s="2">
        <f t="shared" ref="AY66:BA66" si="824">_xlfn.RANK.EQ(AX66, AX$7:AX$375,0)</f>
        <v>32</v>
      </c>
      <c r="AZ66" s="2">
        <v>19</v>
      </c>
      <c r="BA66" s="2">
        <f t="shared" si="824"/>
        <v>52</v>
      </c>
      <c r="BB66" s="2">
        <v>106</v>
      </c>
      <c r="BC66" s="2">
        <f t="shared" ref="BC66:BE66" si="825">_xlfn.RANK.EQ(BB66, BB$7:BB$375,0)</f>
        <v>120</v>
      </c>
      <c r="BD66" s="2">
        <v>96</v>
      </c>
      <c r="BE66" s="2">
        <f t="shared" si="825"/>
        <v>117</v>
      </c>
      <c r="BF66" s="2">
        <v>760</v>
      </c>
      <c r="BG66" s="2">
        <f t="shared" ref="BG66:BI66" si="826">_xlfn.RANK.EQ(BF66, BF$7:BF$375,0)</f>
        <v>68</v>
      </c>
      <c r="BH66" s="2">
        <v>-54</v>
      </c>
      <c r="BI66" s="2">
        <f t="shared" si="826"/>
        <v>237</v>
      </c>
    </row>
    <row r="67" spans="1:61" x14ac:dyDescent="0.55000000000000004">
      <c r="A67" s="2">
        <v>60</v>
      </c>
      <c r="B67" s="2" t="s">
        <v>117</v>
      </c>
      <c r="C67" s="2" t="s">
        <v>32</v>
      </c>
      <c r="D67" s="2">
        <v>55</v>
      </c>
      <c r="E67" s="2">
        <f t="shared" si="0"/>
        <v>139</v>
      </c>
      <c r="F67" s="2">
        <v>37</v>
      </c>
      <c r="G67" s="2">
        <f t="shared" ref="G67:I67" si="827">_xlfn.RANK.EQ(F67, F$7:F$375,0)</f>
        <v>94</v>
      </c>
      <c r="H67" s="3">
        <v>59.293055555555554</v>
      </c>
      <c r="I67" s="2">
        <f t="shared" si="827"/>
        <v>60</v>
      </c>
      <c r="J67" s="3">
        <v>1.0777777777777777</v>
      </c>
      <c r="K67" s="2">
        <f t="shared" ref="K67:M67" si="828">_xlfn.RANK.EQ(J67, J$7:J$375,0)</f>
        <v>68</v>
      </c>
      <c r="L67" s="2">
        <v>670</v>
      </c>
      <c r="M67" s="2">
        <f t="shared" si="828"/>
        <v>60</v>
      </c>
      <c r="N67" s="2">
        <v>246</v>
      </c>
      <c r="O67" s="2">
        <f t="shared" ref="O67:Q67" si="829">_xlfn.RANK.EQ(N67, N$7:N$375,0)</f>
        <v>63</v>
      </c>
      <c r="P67" s="2">
        <v>473</v>
      </c>
      <c r="Q67" s="2">
        <f t="shared" si="829"/>
        <v>72</v>
      </c>
      <c r="R67" s="4">
        <v>0.52</v>
      </c>
      <c r="S67" s="2">
        <f t="shared" ref="S67:U67" si="830">_xlfn.RANK.EQ(R67, R$7:R$375,0)</f>
        <v>54</v>
      </c>
      <c r="T67" s="2">
        <v>134</v>
      </c>
      <c r="U67" s="2">
        <f t="shared" si="830"/>
        <v>79</v>
      </c>
      <c r="V67" s="2">
        <v>236</v>
      </c>
      <c r="W67" s="2">
        <f t="shared" ref="W67:Y67" si="831">_xlfn.RANK.EQ(V67, V$7:V$375,0)</f>
        <v>90</v>
      </c>
      <c r="X67" s="4">
        <v>0.56799999999999995</v>
      </c>
      <c r="Y67" s="2">
        <f t="shared" si="831"/>
        <v>83</v>
      </c>
      <c r="Z67" s="2">
        <v>112</v>
      </c>
      <c r="AA67" s="2">
        <f t="shared" ref="AA67:AC67" si="832">_xlfn.RANK.EQ(Z67, Z$7:Z$375,0)</f>
        <v>24</v>
      </c>
      <c r="AB67" s="2">
        <v>237</v>
      </c>
      <c r="AC67" s="2">
        <f t="shared" si="832"/>
        <v>54</v>
      </c>
      <c r="AD67" s="4">
        <v>0.47299999999999998</v>
      </c>
      <c r="AE67" s="2">
        <f t="shared" ref="AE67:AG67" si="833">_xlfn.RANK.EQ(AD67, AD$7:AD$375,0)</f>
        <v>14</v>
      </c>
      <c r="AF67" s="2">
        <v>66</v>
      </c>
      <c r="AG67" s="2">
        <f t="shared" si="833"/>
        <v>104</v>
      </c>
      <c r="AH67" s="2">
        <v>70</v>
      </c>
      <c r="AI67" s="2">
        <f t="shared" ref="AI67:AK67" si="834">_xlfn.RANK.EQ(AH67, AH$7:AH$375,0)</f>
        <v>124</v>
      </c>
      <c r="AJ67" s="4">
        <v>0.94299999999999995</v>
      </c>
      <c r="AK67" s="2">
        <f t="shared" si="834"/>
        <v>12</v>
      </c>
      <c r="AL67" s="2">
        <v>123</v>
      </c>
      <c r="AM67" s="2">
        <f t="shared" ref="AM67:AO67" si="835">_xlfn.RANK.EQ(AL67, AL$7:AL$375,0)</f>
        <v>26</v>
      </c>
      <c r="AN67" s="2">
        <v>195</v>
      </c>
      <c r="AO67" s="2">
        <f t="shared" si="835"/>
        <v>68</v>
      </c>
      <c r="AP67" s="2">
        <v>318</v>
      </c>
      <c r="AQ67" s="2">
        <f t="shared" ref="AQ67:AS67" si="836">_xlfn.RANK.EQ(AP67, AP$7:AP$375,0)</f>
        <v>53</v>
      </c>
      <c r="AR67" s="2">
        <v>154</v>
      </c>
      <c r="AS67" s="2">
        <f t="shared" si="836"/>
        <v>69</v>
      </c>
      <c r="AT67" s="2">
        <v>74</v>
      </c>
      <c r="AU67" s="2">
        <f t="shared" ref="AU67:AW67" si="837">_xlfn.RANK.EQ(AT67, AT$7:AT$375,0)</f>
        <v>91</v>
      </c>
      <c r="AV67" s="2">
        <v>52</v>
      </c>
      <c r="AW67" s="2">
        <f t="shared" si="837"/>
        <v>51</v>
      </c>
      <c r="AX67" s="2">
        <v>54</v>
      </c>
      <c r="AY67" s="2">
        <f t="shared" ref="AY67:BA67" si="838">_xlfn.RANK.EQ(AX67, AX$7:AX$375,0)</f>
        <v>9</v>
      </c>
      <c r="AZ67" s="2">
        <v>9</v>
      </c>
      <c r="BA67" s="2">
        <f t="shared" si="838"/>
        <v>160</v>
      </c>
      <c r="BB67" s="2">
        <v>131</v>
      </c>
      <c r="BC67" s="2">
        <f t="shared" ref="BC67:BE67" si="839">_xlfn.RANK.EQ(BB67, BB$7:BB$375,0)</f>
        <v>54</v>
      </c>
      <c r="BD67" s="2">
        <v>86</v>
      </c>
      <c r="BE67" s="2">
        <f t="shared" si="839"/>
        <v>125</v>
      </c>
      <c r="BF67" s="2">
        <v>889</v>
      </c>
      <c r="BG67" s="2">
        <f t="shared" ref="BG67:BI67" si="840">_xlfn.RANK.EQ(BF67, BF$7:BF$375,0)</f>
        <v>57</v>
      </c>
      <c r="BH67" s="2">
        <v>148</v>
      </c>
      <c r="BI67" s="2">
        <f t="shared" si="840"/>
        <v>65</v>
      </c>
    </row>
    <row r="68" spans="1:61" x14ac:dyDescent="0.55000000000000004">
      <c r="A68" s="2">
        <v>62</v>
      </c>
      <c r="B68" s="2" t="s">
        <v>118</v>
      </c>
      <c r="C68" s="2" t="s">
        <v>42</v>
      </c>
      <c r="D68" s="2">
        <v>58</v>
      </c>
      <c r="E68" s="2">
        <f t="shared" si="0"/>
        <v>78</v>
      </c>
      <c r="F68" s="2">
        <v>57</v>
      </c>
      <c r="G68" s="2">
        <f t="shared" ref="G68:I68" si="841">_xlfn.RANK.EQ(F68, F$7:F$375,0)</f>
        <v>23</v>
      </c>
      <c r="H68" s="3">
        <v>62.224305555555553</v>
      </c>
      <c r="I68" s="2">
        <f t="shared" si="841"/>
        <v>49</v>
      </c>
      <c r="J68" s="3">
        <v>1.0722222222222222</v>
      </c>
      <c r="K68" s="2">
        <f t="shared" ref="K68:M68" si="842">_xlfn.RANK.EQ(J68, J$7:J$375,0)</f>
        <v>70</v>
      </c>
      <c r="L68" s="2">
        <v>662</v>
      </c>
      <c r="M68" s="2">
        <f t="shared" si="842"/>
        <v>62</v>
      </c>
      <c r="N68" s="2">
        <v>220</v>
      </c>
      <c r="O68" s="2">
        <f t="shared" ref="O68:Q68" si="843">_xlfn.RANK.EQ(N68, N$7:N$375,0)</f>
        <v>71</v>
      </c>
      <c r="P68" s="2">
        <v>482</v>
      </c>
      <c r="Q68" s="2">
        <f t="shared" si="843"/>
        <v>70</v>
      </c>
      <c r="R68" s="4">
        <v>0.45600000000000002</v>
      </c>
      <c r="S68" s="2">
        <f t="shared" ref="S68:U68" si="844">_xlfn.RANK.EQ(R68, R$7:R$375,0)</f>
        <v>109</v>
      </c>
      <c r="T68" s="2">
        <v>123</v>
      </c>
      <c r="U68" s="2">
        <f t="shared" si="844"/>
        <v>92</v>
      </c>
      <c r="V68" s="2">
        <v>220</v>
      </c>
      <c r="W68" s="2">
        <f t="shared" ref="W68:Y68" si="845">_xlfn.RANK.EQ(V68, V$7:V$375,0)</f>
        <v>95</v>
      </c>
      <c r="X68" s="4">
        <v>0.55900000000000005</v>
      </c>
      <c r="Y68" s="2">
        <f t="shared" si="845"/>
        <v>97</v>
      </c>
      <c r="Z68" s="2">
        <v>97</v>
      </c>
      <c r="AA68" s="2">
        <f t="shared" ref="AA68:AC68" si="846">_xlfn.RANK.EQ(Z68, Z$7:Z$375,0)</f>
        <v>34</v>
      </c>
      <c r="AB68" s="2">
        <v>262</v>
      </c>
      <c r="AC68" s="2">
        <f t="shared" si="846"/>
        <v>40</v>
      </c>
      <c r="AD68" s="4">
        <v>0.37</v>
      </c>
      <c r="AE68" s="2">
        <f t="shared" ref="AE68:AG68" si="847">_xlfn.RANK.EQ(AD68, AD$7:AD$375,0)</f>
        <v>81</v>
      </c>
      <c r="AF68" s="2">
        <v>125</v>
      </c>
      <c r="AG68" s="2">
        <f t="shared" si="847"/>
        <v>49</v>
      </c>
      <c r="AH68" s="2">
        <v>177</v>
      </c>
      <c r="AI68" s="2">
        <f t="shared" ref="AI68:AK68" si="848">_xlfn.RANK.EQ(AH68, AH$7:AH$375,0)</f>
        <v>47</v>
      </c>
      <c r="AJ68" s="4">
        <v>0.70599999999999996</v>
      </c>
      <c r="AK68" s="2">
        <f t="shared" si="848"/>
        <v>200</v>
      </c>
      <c r="AL68" s="2">
        <v>52</v>
      </c>
      <c r="AM68" s="2">
        <f t="shared" ref="AM68:AO68" si="849">_xlfn.RANK.EQ(AL68, AL$7:AL$375,0)</f>
        <v>86</v>
      </c>
      <c r="AN68" s="2">
        <v>92</v>
      </c>
      <c r="AO68" s="2">
        <f t="shared" si="849"/>
        <v>118</v>
      </c>
      <c r="AP68" s="2">
        <v>144</v>
      </c>
      <c r="AQ68" s="2">
        <f t="shared" ref="AQ68:AS68" si="850">_xlfn.RANK.EQ(AP68, AP$7:AP$375,0)</f>
        <v>105</v>
      </c>
      <c r="AR68" s="2">
        <v>249</v>
      </c>
      <c r="AS68" s="2">
        <f t="shared" si="850"/>
        <v>15</v>
      </c>
      <c r="AT68" s="2">
        <v>108</v>
      </c>
      <c r="AU68" s="2">
        <f t="shared" ref="AU68:AW68" si="851">_xlfn.RANK.EQ(AT68, AT$7:AT$375,0)</f>
        <v>40</v>
      </c>
      <c r="AV68" s="2">
        <v>55</v>
      </c>
      <c r="AW68" s="2">
        <f t="shared" si="851"/>
        <v>41</v>
      </c>
      <c r="AX68" s="2">
        <v>9</v>
      </c>
      <c r="AY68" s="2">
        <f t="shared" ref="AY68:BA68" si="852">_xlfn.RANK.EQ(AX68, AX$7:AX$375,0)</f>
        <v>110</v>
      </c>
      <c r="AZ68" s="2">
        <v>17</v>
      </c>
      <c r="BA68" s="2">
        <f t="shared" si="852"/>
        <v>66</v>
      </c>
      <c r="BB68" s="2">
        <v>142</v>
      </c>
      <c r="BC68" s="2">
        <f t="shared" ref="BC68:BE68" si="853">_xlfn.RANK.EQ(BB68, BB$7:BB$375,0)</f>
        <v>32</v>
      </c>
      <c r="BD68" s="2">
        <v>230</v>
      </c>
      <c r="BE68" s="2">
        <f t="shared" si="853"/>
        <v>23</v>
      </c>
      <c r="BF68" s="2">
        <v>768</v>
      </c>
      <c r="BG68" s="2">
        <f t="shared" ref="BG68:BI68" si="854">_xlfn.RANK.EQ(BF68, BF$7:BF$375,0)</f>
        <v>65</v>
      </c>
      <c r="BH68" s="2">
        <v>276</v>
      </c>
      <c r="BI68" s="2">
        <f t="shared" si="854"/>
        <v>32</v>
      </c>
    </row>
    <row r="69" spans="1:61" x14ac:dyDescent="0.55000000000000004">
      <c r="A69" s="2">
        <v>63</v>
      </c>
      <c r="B69" s="2" t="s">
        <v>119</v>
      </c>
      <c r="C69" s="2" t="s">
        <v>72</v>
      </c>
      <c r="D69" s="2">
        <v>60</v>
      </c>
      <c r="E69" s="2">
        <f t="shared" si="0"/>
        <v>1</v>
      </c>
      <c r="F69" s="2">
        <v>59</v>
      </c>
      <c r="G69" s="2">
        <f t="shared" ref="G69:I69" si="855">_xlfn.RANK.EQ(F69, F$7:F$375,0)</f>
        <v>14</v>
      </c>
      <c r="H69" s="3">
        <v>72.393749999999997</v>
      </c>
      <c r="I69" s="2">
        <f t="shared" si="855"/>
        <v>13</v>
      </c>
      <c r="J69" s="3">
        <v>1.20625</v>
      </c>
      <c r="K69" s="2">
        <f t="shared" ref="K69:M69" si="856">_xlfn.RANK.EQ(J69, J$7:J$375,0)</f>
        <v>25</v>
      </c>
      <c r="L69" s="2">
        <v>660</v>
      </c>
      <c r="M69" s="2">
        <f t="shared" si="856"/>
        <v>63</v>
      </c>
      <c r="N69" s="2">
        <v>235</v>
      </c>
      <c r="O69" s="2">
        <f t="shared" ref="O69:Q69" si="857">_xlfn.RANK.EQ(N69, N$7:N$375,0)</f>
        <v>66</v>
      </c>
      <c r="P69" s="2">
        <v>632</v>
      </c>
      <c r="Q69" s="2">
        <f t="shared" si="857"/>
        <v>28</v>
      </c>
      <c r="R69" s="4">
        <v>0.372</v>
      </c>
      <c r="S69" s="2">
        <f t="shared" ref="S69:U69" si="858">_xlfn.RANK.EQ(R69, R$7:R$375,0)</f>
        <v>241</v>
      </c>
      <c r="T69" s="2">
        <v>120</v>
      </c>
      <c r="U69" s="2">
        <f t="shared" si="858"/>
        <v>94</v>
      </c>
      <c r="V69" s="2">
        <v>240</v>
      </c>
      <c r="W69" s="2">
        <f t="shared" ref="W69:Y69" si="859">_xlfn.RANK.EQ(V69, V$7:V$375,0)</f>
        <v>89</v>
      </c>
      <c r="X69" s="4">
        <v>0.5</v>
      </c>
      <c r="Y69" s="2">
        <f t="shared" si="859"/>
        <v>175</v>
      </c>
      <c r="Z69" s="2">
        <v>115</v>
      </c>
      <c r="AA69" s="2">
        <f t="shared" ref="AA69:AC69" si="860">_xlfn.RANK.EQ(Z69, Z$7:Z$375,0)</f>
        <v>21</v>
      </c>
      <c r="AB69" s="2">
        <v>392</v>
      </c>
      <c r="AC69" s="2">
        <f t="shared" si="860"/>
        <v>7</v>
      </c>
      <c r="AD69" s="4">
        <v>0.29299999999999998</v>
      </c>
      <c r="AE69" s="2">
        <f t="shared" ref="AE69:AG69" si="861">_xlfn.RANK.EQ(AD69, AD$7:AD$375,0)</f>
        <v>224</v>
      </c>
      <c r="AF69" s="2">
        <v>75</v>
      </c>
      <c r="AG69" s="2">
        <f t="shared" si="861"/>
        <v>94</v>
      </c>
      <c r="AH69" s="2">
        <v>97</v>
      </c>
      <c r="AI69" s="2">
        <f t="shared" ref="AI69:AK69" si="862">_xlfn.RANK.EQ(AH69, AH$7:AH$375,0)</f>
        <v>97</v>
      </c>
      <c r="AJ69" s="4">
        <v>0.77300000000000002</v>
      </c>
      <c r="AK69" s="2">
        <f t="shared" si="862"/>
        <v>119</v>
      </c>
      <c r="AL69" s="2">
        <v>46</v>
      </c>
      <c r="AM69" s="2">
        <f t="shared" ref="AM69:AO69" si="863">_xlfn.RANK.EQ(AL69, AL$7:AL$375,0)</f>
        <v>100</v>
      </c>
      <c r="AN69" s="2">
        <v>128</v>
      </c>
      <c r="AO69" s="2">
        <f t="shared" si="863"/>
        <v>91</v>
      </c>
      <c r="AP69" s="2">
        <v>174</v>
      </c>
      <c r="AQ69" s="2">
        <f t="shared" ref="AQ69:AS69" si="864">_xlfn.RANK.EQ(AP69, AP$7:AP$375,0)</f>
        <v>91</v>
      </c>
      <c r="AR69" s="2">
        <v>355</v>
      </c>
      <c r="AS69" s="2">
        <f t="shared" si="864"/>
        <v>3</v>
      </c>
      <c r="AT69" s="2">
        <v>143</v>
      </c>
      <c r="AU69" s="2">
        <f t="shared" ref="AU69:AW69" si="865">_xlfn.RANK.EQ(AT69, AT$7:AT$375,0)</f>
        <v>7</v>
      </c>
      <c r="AV69" s="2">
        <v>67</v>
      </c>
      <c r="AW69" s="2">
        <f t="shared" si="865"/>
        <v>23</v>
      </c>
      <c r="AX69" s="2">
        <v>7</v>
      </c>
      <c r="AY69" s="2">
        <f t="shared" ref="AY69:BA69" si="866">_xlfn.RANK.EQ(AX69, AX$7:AX$375,0)</f>
        <v>138</v>
      </c>
      <c r="AZ69" s="2">
        <v>14</v>
      </c>
      <c r="BA69" s="2">
        <f t="shared" si="866"/>
        <v>104</v>
      </c>
      <c r="BB69" s="2">
        <v>137</v>
      </c>
      <c r="BC69" s="2">
        <f t="shared" ref="BC69:BE69" si="867">_xlfn.RANK.EQ(BB69, BB$7:BB$375,0)</f>
        <v>39</v>
      </c>
      <c r="BD69" s="2">
        <v>150</v>
      </c>
      <c r="BE69" s="2">
        <f t="shared" si="867"/>
        <v>71</v>
      </c>
      <c r="BF69" s="2">
        <v>700</v>
      </c>
      <c r="BG69" s="2">
        <f t="shared" ref="BG69:BI69" si="868">_xlfn.RANK.EQ(BF69, BF$7:BF$375,0)</f>
        <v>73</v>
      </c>
      <c r="BH69" s="2">
        <v>29</v>
      </c>
      <c r="BI69" s="2">
        <f t="shared" si="868"/>
        <v>113</v>
      </c>
    </row>
    <row r="70" spans="1:61" x14ac:dyDescent="0.55000000000000004">
      <c r="A70" s="2">
        <v>64</v>
      </c>
      <c r="B70" s="2" t="s">
        <v>120</v>
      </c>
      <c r="C70" s="2" t="s">
        <v>54</v>
      </c>
      <c r="D70" s="2">
        <v>59</v>
      </c>
      <c r="E70" s="2">
        <f t="shared" si="0"/>
        <v>58</v>
      </c>
      <c r="F70" s="2">
        <v>59</v>
      </c>
      <c r="G70" s="2">
        <f t="shared" ref="G70:I70" si="869">_xlfn.RANK.EQ(F70, F$7:F$375,0)</f>
        <v>14</v>
      </c>
      <c r="H70" s="3">
        <v>58.262500000000003</v>
      </c>
      <c r="I70" s="2">
        <f t="shared" si="869"/>
        <v>68</v>
      </c>
      <c r="J70" s="5">
        <v>0.98750000000000004</v>
      </c>
      <c r="K70" s="2">
        <f t="shared" ref="K70:M70" si="870">_xlfn.RANK.EQ(J70, J$7:J$375,0)</f>
        <v>99</v>
      </c>
      <c r="L70" s="2">
        <v>657</v>
      </c>
      <c r="M70" s="2">
        <f t="shared" si="870"/>
        <v>64</v>
      </c>
      <c r="N70" s="2">
        <v>258</v>
      </c>
      <c r="O70" s="2">
        <f t="shared" ref="O70:Q70" si="871">_xlfn.RANK.EQ(N70, N$7:N$375,0)</f>
        <v>57</v>
      </c>
      <c r="P70" s="2">
        <v>555</v>
      </c>
      <c r="Q70" s="2">
        <f t="shared" si="871"/>
        <v>51</v>
      </c>
      <c r="R70" s="4">
        <v>0.46500000000000002</v>
      </c>
      <c r="S70" s="2">
        <f t="shared" ref="S70:U70" si="872">_xlfn.RANK.EQ(R70, R$7:R$375,0)</f>
        <v>100</v>
      </c>
      <c r="T70" s="2">
        <v>202</v>
      </c>
      <c r="U70" s="2">
        <f t="shared" si="872"/>
        <v>46</v>
      </c>
      <c r="V70" s="2">
        <v>361</v>
      </c>
      <c r="W70" s="2">
        <f t="shared" ref="W70:Y70" si="873">_xlfn.RANK.EQ(V70, V$7:V$375,0)</f>
        <v>45</v>
      </c>
      <c r="X70" s="4">
        <v>0.56000000000000005</v>
      </c>
      <c r="Y70" s="2">
        <f t="shared" si="873"/>
        <v>95</v>
      </c>
      <c r="Z70" s="2">
        <v>56</v>
      </c>
      <c r="AA70" s="2">
        <f t="shared" ref="AA70:AC70" si="874">_xlfn.RANK.EQ(Z70, Z$7:Z$375,0)</f>
        <v>104</v>
      </c>
      <c r="AB70" s="2">
        <v>194</v>
      </c>
      <c r="AC70" s="2">
        <f t="shared" si="874"/>
        <v>80</v>
      </c>
      <c r="AD70" s="4">
        <v>0.28899999999999998</v>
      </c>
      <c r="AE70" s="2">
        <f t="shared" ref="AE70:AG70" si="875">_xlfn.RANK.EQ(AD70, AD$7:AD$375,0)</f>
        <v>232</v>
      </c>
      <c r="AF70" s="2">
        <v>85</v>
      </c>
      <c r="AG70" s="2">
        <f t="shared" si="875"/>
        <v>77</v>
      </c>
      <c r="AH70" s="2">
        <v>112</v>
      </c>
      <c r="AI70" s="2">
        <f t="shared" ref="AI70:AK70" si="876">_xlfn.RANK.EQ(AH70, AH$7:AH$375,0)</f>
        <v>87</v>
      </c>
      <c r="AJ70" s="4">
        <v>0.75900000000000001</v>
      </c>
      <c r="AK70" s="2">
        <f t="shared" si="876"/>
        <v>139</v>
      </c>
      <c r="AL70" s="2">
        <v>55</v>
      </c>
      <c r="AM70" s="2">
        <f t="shared" ref="AM70:AO70" si="877">_xlfn.RANK.EQ(AL70, AL$7:AL$375,0)</f>
        <v>81</v>
      </c>
      <c r="AN70" s="2">
        <v>96</v>
      </c>
      <c r="AO70" s="2">
        <f t="shared" si="877"/>
        <v>114</v>
      </c>
      <c r="AP70" s="2">
        <v>151</v>
      </c>
      <c r="AQ70" s="2">
        <f t="shared" ref="AQ70:AS70" si="878">_xlfn.RANK.EQ(AP70, AP$7:AP$375,0)</f>
        <v>96</v>
      </c>
      <c r="AR70" s="2">
        <v>183</v>
      </c>
      <c r="AS70" s="2">
        <f t="shared" si="878"/>
        <v>49</v>
      </c>
      <c r="AT70" s="2">
        <v>71</v>
      </c>
      <c r="AU70" s="2">
        <f t="shared" ref="AU70:AW70" si="879">_xlfn.RANK.EQ(AT70, AT$7:AT$375,0)</f>
        <v>92</v>
      </c>
      <c r="AV70" s="2">
        <v>45</v>
      </c>
      <c r="AW70" s="2">
        <f t="shared" si="879"/>
        <v>85</v>
      </c>
      <c r="AX70" s="2">
        <v>13</v>
      </c>
      <c r="AY70" s="2">
        <f t="shared" ref="AY70:BA70" si="880">_xlfn.RANK.EQ(AX70, AX$7:AX$375,0)</f>
        <v>86</v>
      </c>
      <c r="AZ70" s="2">
        <v>38</v>
      </c>
      <c r="BA70" s="2">
        <f t="shared" si="880"/>
        <v>7</v>
      </c>
      <c r="BB70" s="2">
        <v>115</v>
      </c>
      <c r="BC70" s="2">
        <f t="shared" ref="BC70:BE70" si="881">_xlfn.RANK.EQ(BB70, BB$7:BB$375,0)</f>
        <v>94</v>
      </c>
      <c r="BD70" s="2">
        <v>134</v>
      </c>
      <c r="BE70" s="2">
        <f t="shared" si="881"/>
        <v>83</v>
      </c>
      <c r="BF70" s="2">
        <v>635</v>
      </c>
      <c r="BG70" s="2">
        <f t="shared" ref="BG70:BI70" si="882">_xlfn.RANK.EQ(BF70, BF$7:BF$375,0)</f>
        <v>80</v>
      </c>
      <c r="BH70" s="2">
        <v>285</v>
      </c>
      <c r="BI70" s="2">
        <f t="shared" si="882"/>
        <v>29</v>
      </c>
    </row>
    <row r="71" spans="1:61" x14ac:dyDescent="0.55000000000000004">
      <c r="A71" s="2">
        <v>65</v>
      </c>
      <c r="B71" s="2" t="s">
        <v>121</v>
      </c>
      <c r="C71" s="2" t="s">
        <v>113</v>
      </c>
      <c r="D71" s="2">
        <v>48</v>
      </c>
      <c r="E71" s="2">
        <f t="shared" si="0"/>
        <v>201</v>
      </c>
      <c r="F71" s="2">
        <v>42</v>
      </c>
      <c r="G71" s="2">
        <f t="shared" ref="G71:I71" si="883">_xlfn.RANK.EQ(F71, F$7:F$375,0)</f>
        <v>75</v>
      </c>
      <c r="H71" s="3">
        <v>53.309027777777779</v>
      </c>
      <c r="I71" s="2">
        <f t="shared" si="883"/>
        <v>100</v>
      </c>
      <c r="J71" s="3">
        <v>1.1104166666666666</v>
      </c>
      <c r="K71" s="2">
        <f t="shared" ref="K71:M71" si="884">_xlfn.RANK.EQ(J71, J$7:J$375,0)</f>
        <v>54</v>
      </c>
      <c r="L71" s="2">
        <v>650</v>
      </c>
      <c r="M71" s="2">
        <f t="shared" si="884"/>
        <v>65</v>
      </c>
      <c r="N71" s="2">
        <v>262</v>
      </c>
      <c r="O71" s="2">
        <f t="shared" ref="O71:Q71" si="885">_xlfn.RANK.EQ(N71, N$7:N$375,0)</f>
        <v>55</v>
      </c>
      <c r="P71" s="2">
        <v>432</v>
      </c>
      <c r="Q71" s="2">
        <f t="shared" si="885"/>
        <v>83</v>
      </c>
      <c r="R71" s="4">
        <v>0.60599999999999998</v>
      </c>
      <c r="S71" s="2">
        <f t="shared" ref="S71:U71" si="886">_xlfn.RANK.EQ(R71, R$7:R$375,0)</f>
        <v>14</v>
      </c>
      <c r="T71" s="2">
        <v>261</v>
      </c>
      <c r="U71" s="2">
        <f t="shared" si="886"/>
        <v>24</v>
      </c>
      <c r="V71" s="2">
        <v>426</v>
      </c>
      <c r="W71" s="2">
        <f t="shared" ref="W71:Y71" si="887">_xlfn.RANK.EQ(V71, V$7:V$375,0)</f>
        <v>27</v>
      </c>
      <c r="X71" s="4">
        <v>0.61299999999999999</v>
      </c>
      <c r="Y71" s="2">
        <f t="shared" si="887"/>
        <v>48</v>
      </c>
      <c r="Z71" s="2">
        <v>1</v>
      </c>
      <c r="AA71" s="2">
        <f t="shared" ref="AA71:AC71" si="888">_xlfn.RANK.EQ(Z71, Z$7:Z$375,0)</f>
        <v>320</v>
      </c>
      <c r="AB71" s="2">
        <v>6</v>
      </c>
      <c r="AC71" s="2">
        <f t="shared" si="888"/>
        <v>317</v>
      </c>
      <c r="AD71" s="4">
        <v>0.16700000000000001</v>
      </c>
      <c r="AE71" s="2">
        <f t="shared" ref="AE71:AG71" si="889">_xlfn.RANK.EQ(AD71, AD$7:AD$375,0)</f>
        <v>317</v>
      </c>
      <c r="AF71" s="2">
        <v>125</v>
      </c>
      <c r="AG71" s="2">
        <f t="shared" si="889"/>
        <v>49</v>
      </c>
      <c r="AH71" s="2">
        <v>233</v>
      </c>
      <c r="AI71" s="2">
        <f t="shared" ref="AI71:AK71" si="890">_xlfn.RANK.EQ(AH71, AH$7:AH$375,0)</f>
        <v>21</v>
      </c>
      <c r="AJ71" s="4">
        <v>0.53600000000000003</v>
      </c>
      <c r="AK71" s="2">
        <f t="shared" si="890"/>
        <v>297</v>
      </c>
      <c r="AL71" s="2">
        <v>167</v>
      </c>
      <c r="AM71" s="2">
        <f t="shared" ref="AM71:AO71" si="891">_xlfn.RANK.EQ(AL71, AL$7:AL$375,0)</f>
        <v>9</v>
      </c>
      <c r="AN71" s="2">
        <v>280</v>
      </c>
      <c r="AO71" s="2">
        <f t="shared" si="891"/>
        <v>28</v>
      </c>
      <c r="AP71" s="2">
        <v>447</v>
      </c>
      <c r="AQ71" s="2">
        <f t="shared" ref="AQ71:AS71" si="892">_xlfn.RANK.EQ(AP71, AP$7:AP$375,0)</f>
        <v>14</v>
      </c>
      <c r="AR71" s="2">
        <v>130</v>
      </c>
      <c r="AS71" s="2">
        <f t="shared" si="892"/>
        <v>90</v>
      </c>
      <c r="AT71" s="2">
        <v>104</v>
      </c>
      <c r="AU71" s="2">
        <f t="shared" ref="AU71:AW71" si="893">_xlfn.RANK.EQ(AT71, AT$7:AT$375,0)</f>
        <v>46</v>
      </c>
      <c r="AV71" s="2">
        <v>55</v>
      </c>
      <c r="AW71" s="2">
        <f t="shared" si="893"/>
        <v>41</v>
      </c>
      <c r="AX71" s="2">
        <v>25</v>
      </c>
      <c r="AY71" s="2">
        <f t="shared" ref="AY71:BA71" si="894">_xlfn.RANK.EQ(AX71, AX$7:AX$375,0)</f>
        <v>53</v>
      </c>
      <c r="AZ71" s="2">
        <v>31</v>
      </c>
      <c r="BA71" s="2">
        <f t="shared" si="894"/>
        <v>16</v>
      </c>
      <c r="BB71" s="2">
        <v>120</v>
      </c>
      <c r="BC71" s="2">
        <f t="shared" ref="BC71:BE71" si="895">_xlfn.RANK.EQ(BB71, BB$7:BB$375,0)</f>
        <v>83</v>
      </c>
      <c r="BD71" s="2">
        <v>224</v>
      </c>
      <c r="BE71" s="2">
        <f t="shared" si="895"/>
        <v>25</v>
      </c>
      <c r="BF71" s="2">
        <v>996</v>
      </c>
      <c r="BG71" s="2">
        <f t="shared" ref="BG71:BI71" si="896">_xlfn.RANK.EQ(BF71, BF$7:BF$375,0)</f>
        <v>42</v>
      </c>
      <c r="BH71" s="2">
        <v>-160</v>
      </c>
      <c r="BI71" s="2">
        <f t="shared" si="896"/>
        <v>325</v>
      </c>
    </row>
    <row r="72" spans="1:61" x14ac:dyDescent="0.55000000000000004">
      <c r="A72" s="2">
        <v>66</v>
      </c>
      <c r="B72" s="2" t="s">
        <v>122</v>
      </c>
      <c r="C72" s="2" t="s">
        <v>89</v>
      </c>
      <c r="D72" s="2">
        <v>58</v>
      </c>
      <c r="E72" s="2">
        <f t="shared" ref="E72:E135" si="897">_xlfn.RANK.EQ(D72, D$7:D$375,0)</f>
        <v>78</v>
      </c>
      <c r="F72" s="2">
        <v>36</v>
      </c>
      <c r="G72" s="2">
        <f t="shared" ref="G72:I72" si="898">_xlfn.RANK.EQ(F72, F$7:F$375,0)</f>
        <v>99</v>
      </c>
      <c r="H72" s="3">
        <v>57.545138888888886</v>
      </c>
      <c r="I72" s="2">
        <f t="shared" si="898"/>
        <v>72</v>
      </c>
      <c r="J72" s="5">
        <v>0.9916666666666667</v>
      </c>
      <c r="K72" s="2">
        <f t="shared" ref="K72:M72" si="899">_xlfn.RANK.EQ(J72, J$7:J$375,0)</f>
        <v>98</v>
      </c>
      <c r="L72" s="2">
        <v>649</v>
      </c>
      <c r="M72" s="2">
        <f t="shared" si="899"/>
        <v>66</v>
      </c>
      <c r="N72" s="2">
        <v>210</v>
      </c>
      <c r="O72" s="2">
        <f t="shared" ref="O72:Q72" si="900">_xlfn.RANK.EQ(N72, N$7:N$375,0)</f>
        <v>77</v>
      </c>
      <c r="P72" s="2">
        <v>581</v>
      </c>
      <c r="Q72" s="2">
        <f t="shared" si="900"/>
        <v>43</v>
      </c>
      <c r="R72" s="4">
        <v>0.36099999999999999</v>
      </c>
      <c r="S72" s="2">
        <f t="shared" ref="S72:U72" si="901">_xlfn.RANK.EQ(R72, R$7:R$375,0)</f>
        <v>263</v>
      </c>
      <c r="T72" s="2">
        <v>99</v>
      </c>
      <c r="U72" s="2">
        <f t="shared" si="901"/>
        <v>108</v>
      </c>
      <c r="V72" s="2">
        <v>227</v>
      </c>
      <c r="W72" s="2">
        <f t="shared" ref="W72:Y72" si="902">_xlfn.RANK.EQ(V72, V$7:V$375,0)</f>
        <v>91</v>
      </c>
      <c r="X72" s="4">
        <v>0.436</v>
      </c>
      <c r="Y72" s="2">
        <f t="shared" si="902"/>
        <v>262</v>
      </c>
      <c r="Z72" s="2">
        <v>111</v>
      </c>
      <c r="AA72" s="2">
        <f t="shared" ref="AA72:AC72" si="903">_xlfn.RANK.EQ(Z72, Z$7:Z$375,0)</f>
        <v>26</v>
      </c>
      <c r="AB72" s="2">
        <v>354</v>
      </c>
      <c r="AC72" s="2">
        <f t="shared" si="903"/>
        <v>12</v>
      </c>
      <c r="AD72" s="4">
        <v>0.314</v>
      </c>
      <c r="AE72" s="2">
        <f t="shared" ref="AE72:AG72" si="904">_xlfn.RANK.EQ(AD72, AD$7:AD$375,0)</f>
        <v>192</v>
      </c>
      <c r="AF72" s="2">
        <v>118</v>
      </c>
      <c r="AG72" s="2">
        <f t="shared" si="904"/>
        <v>56</v>
      </c>
      <c r="AH72" s="2">
        <v>136</v>
      </c>
      <c r="AI72" s="2">
        <f t="shared" ref="AI72:AK72" si="905">_xlfn.RANK.EQ(AH72, AH$7:AH$375,0)</f>
        <v>67</v>
      </c>
      <c r="AJ72" s="4">
        <v>0.86799999999999999</v>
      </c>
      <c r="AK72" s="2">
        <f t="shared" si="905"/>
        <v>30</v>
      </c>
      <c r="AL72" s="2">
        <v>23</v>
      </c>
      <c r="AM72" s="2">
        <f t="shared" ref="AM72:AO72" si="906">_xlfn.RANK.EQ(AL72, AL$7:AL$375,0)</f>
        <v>185</v>
      </c>
      <c r="AN72" s="2">
        <v>99</v>
      </c>
      <c r="AO72" s="2">
        <f t="shared" si="906"/>
        <v>110</v>
      </c>
      <c r="AP72" s="2">
        <v>122</v>
      </c>
      <c r="AQ72" s="2">
        <f t="shared" ref="AQ72:AS72" si="907">_xlfn.RANK.EQ(AP72, AP$7:AP$375,0)</f>
        <v>129</v>
      </c>
      <c r="AR72" s="2">
        <v>188</v>
      </c>
      <c r="AS72" s="2">
        <f t="shared" si="907"/>
        <v>45</v>
      </c>
      <c r="AT72" s="2">
        <v>81</v>
      </c>
      <c r="AU72" s="2">
        <f t="shared" ref="AU72:AW72" si="908">_xlfn.RANK.EQ(AT72, AT$7:AT$375,0)</f>
        <v>78</v>
      </c>
      <c r="AV72" s="2">
        <v>51</v>
      </c>
      <c r="AW72" s="2">
        <f t="shared" si="908"/>
        <v>56</v>
      </c>
      <c r="AX72" s="2">
        <v>2</v>
      </c>
      <c r="AY72" s="2">
        <f t="shared" ref="AY72:BA72" si="909">_xlfn.RANK.EQ(AX72, AX$7:AX$375,0)</f>
        <v>234</v>
      </c>
      <c r="AZ72" s="2">
        <v>15</v>
      </c>
      <c r="BA72" s="2">
        <f t="shared" si="909"/>
        <v>87</v>
      </c>
      <c r="BB72" s="2">
        <v>114</v>
      </c>
      <c r="BC72" s="2">
        <f t="shared" ref="BC72:BE72" si="910">_xlfn.RANK.EQ(BB72, BB$7:BB$375,0)</f>
        <v>97</v>
      </c>
      <c r="BD72" s="2">
        <v>199</v>
      </c>
      <c r="BE72" s="2">
        <f t="shared" si="910"/>
        <v>42</v>
      </c>
      <c r="BF72" s="2">
        <v>612</v>
      </c>
      <c r="BG72" s="2">
        <f t="shared" ref="BG72:BI72" si="911">_xlfn.RANK.EQ(BF72, BF$7:BF$375,0)</f>
        <v>88</v>
      </c>
      <c r="BH72" s="2">
        <v>393</v>
      </c>
      <c r="BI72" s="2">
        <f t="shared" si="911"/>
        <v>10</v>
      </c>
    </row>
    <row r="73" spans="1:61" x14ac:dyDescent="0.55000000000000004">
      <c r="A73" s="2">
        <v>66</v>
      </c>
      <c r="B73" s="2" t="s">
        <v>123</v>
      </c>
      <c r="C73" s="2" t="s">
        <v>36</v>
      </c>
      <c r="D73" s="2">
        <v>53</v>
      </c>
      <c r="E73" s="2">
        <f t="shared" si="897"/>
        <v>166</v>
      </c>
      <c r="F73" s="2">
        <v>52</v>
      </c>
      <c r="G73" s="2">
        <f t="shared" ref="G73:I73" si="912">_xlfn.RANK.EQ(F73, F$7:F$375,0)</f>
        <v>41</v>
      </c>
      <c r="H73" s="3">
        <v>62.601388888888891</v>
      </c>
      <c r="I73" s="2">
        <f t="shared" si="912"/>
        <v>46</v>
      </c>
      <c r="J73" s="3">
        <v>1.1805555555555556</v>
      </c>
      <c r="K73" s="2">
        <f t="shared" ref="K73:M73" si="913">_xlfn.RANK.EQ(J73, J$7:J$375,0)</f>
        <v>31</v>
      </c>
      <c r="L73" s="2">
        <v>649</v>
      </c>
      <c r="M73" s="2">
        <f t="shared" si="913"/>
        <v>66</v>
      </c>
      <c r="N73" s="2">
        <v>264</v>
      </c>
      <c r="O73" s="2">
        <f t="shared" ref="O73:Q73" si="914">_xlfn.RANK.EQ(N73, N$7:N$375,0)</f>
        <v>53</v>
      </c>
      <c r="P73" s="2">
        <v>512</v>
      </c>
      <c r="Q73" s="2">
        <f t="shared" si="914"/>
        <v>62</v>
      </c>
      <c r="R73" s="4">
        <v>0.51600000000000001</v>
      </c>
      <c r="S73" s="2">
        <f t="shared" ref="S73:U73" si="915">_xlfn.RANK.EQ(R73, R$7:R$375,0)</f>
        <v>58</v>
      </c>
      <c r="T73" s="2">
        <v>192</v>
      </c>
      <c r="U73" s="2">
        <f t="shared" si="915"/>
        <v>52</v>
      </c>
      <c r="V73" s="2">
        <v>329</v>
      </c>
      <c r="W73" s="2">
        <f t="shared" ref="W73:Y73" si="916">_xlfn.RANK.EQ(V73, V$7:V$375,0)</f>
        <v>56</v>
      </c>
      <c r="X73" s="4">
        <v>0.58399999999999996</v>
      </c>
      <c r="Y73" s="2">
        <f t="shared" si="916"/>
        <v>70</v>
      </c>
      <c r="Z73" s="2">
        <v>72</v>
      </c>
      <c r="AA73" s="2">
        <f t="shared" ref="AA73:AC73" si="917">_xlfn.RANK.EQ(Z73, Z$7:Z$375,0)</f>
        <v>72</v>
      </c>
      <c r="AB73" s="2">
        <v>183</v>
      </c>
      <c r="AC73" s="2">
        <f t="shared" si="917"/>
        <v>95</v>
      </c>
      <c r="AD73" s="4">
        <v>0.39300000000000002</v>
      </c>
      <c r="AE73" s="2">
        <f t="shared" ref="AE73:AG73" si="918">_xlfn.RANK.EQ(AD73, AD$7:AD$375,0)</f>
        <v>46</v>
      </c>
      <c r="AF73" s="2">
        <v>49</v>
      </c>
      <c r="AG73" s="2">
        <f t="shared" si="918"/>
        <v>130</v>
      </c>
      <c r="AH73" s="2">
        <v>66</v>
      </c>
      <c r="AI73" s="2">
        <f t="shared" ref="AI73:AK73" si="919">_xlfn.RANK.EQ(AH73, AH$7:AH$375,0)</f>
        <v>132</v>
      </c>
      <c r="AJ73" s="4">
        <v>0.74199999999999999</v>
      </c>
      <c r="AK73" s="2">
        <f t="shared" si="919"/>
        <v>162</v>
      </c>
      <c r="AL73" s="2">
        <v>95</v>
      </c>
      <c r="AM73" s="2">
        <f t="shared" ref="AM73:AO73" si="920">_xlfn.RANK.EQ(AL73, AL$7:AL$375,0)</f>
        <v>42</v>
      </c>
      <c r="AN73" s="2">
        <v>239</v>
      </c>
      <c r="AO73" s="2">
        <f t="shared" si="920"/>
        <v>52</v>
      </c>
      <c r="AP73" s="2">
        <v>334</v>
      </c>
      <c r="AQ73" s="2">
        <f t="shared" ref="AQ73:AS73" si="921">_xlfn.RANK.EQ(AP73, AP$7:AP$375,0)</f>
        <v>49</v>
      </c>
      <c r="AR73" s="2">
        <v>112</v>
      </c>
      <c r="AS73" s="2">
        <f t="shared" si="921"/>
        <v>110</v>
      </c>
      <c r="AT73" s="2">
        <v>43</v>
      </c>
      <c r="AU73" s="2">
        <f t="shared" ref="AU73:AW73" si="922">_xlfn.RANK.EQ(AT73, AT$7:AT$375,0)</f>
        <v>164</v>
      </c>
      <c r="AV73" s="2">
        <v>42</v>
      </c>
      <c r="AW73" s="2">
        <f t="shared" si="922"/>
        <v>97</v>
      </c>
      <c r="AX73" s="2">
        <v>41</v>
      </c>
      <c r="AY73" s="2">
        <f t="shared" ref="AY73:BA73" si="923">_xlfn.RANK.EQ(AX73, AX$7:AX$375,0)</f>
        <v>18</v>
      </c>
      <c r="AZ73" s="2">
        <v>13</v>
      </c>
      <c r="BA73" s="2">
        <f t="shared" si="923"/>
        <v>114</v>
      </c>
      <c r="BB73" s="2">
        <v>86</v>
      </c>
      <c r="BC73" s="2">
        <f t="shared" ref="BC73:BE73" si="924">_xlfn.RANK.EQ(BB73, BB$7:BB$375,0)</f>
        <v>173</v>
      </c>
      <c r="BD73" s="2">
        <v>61</v>
      </c>
      <c r="BE73" s="2">
        <f t="shared" si="924"/>
        <v>153</v>
      </c>
      <c r="BF73" s="2">
        <v>832</v>
      </c>
      <c r="BG73" s="2">
        <f t="shared" ref="BG73:BI73" si="925">_xlfn.RANK.EQ(BF73, BF$7:BF$375,0)</f>
        <v>59</v>
      </c>
      <c r="BH73" s="2">
        <v>75</v>
      </c>
      <c r="BI73" s="2">
        <f t="shared" si="925"/>
        <v>88</v>
      </c>
    </row>
    <row r="74" spans="1:61" x14ac:dyDescent="0.55000000000000004">
      <c r="A74" s="2">
        <v>68</v>
      </c>
      <c r="B74" s="2" t="s">
        <v>124</v>
      </c>
      <c r="C74" s="2" t="s">
        <v>91</v>
      </c>
      <c r="D74" s="2">
        <v>57</v>
      </c>
      <c r="E74" s="2">
        <f t="shared" si="897"/>
        <v>100</v>
      </c>
      <c r="F74" s="2">
        <v>57</v>
      </c>
      <c r="G74" s="2">
        <f t="shared" ref="G74:I74" si="926">_xlfn.RANK.EQ(F74, F$7:F$375,0)</f>
        <v>23</v>
      </c>
      <c r="H74" s="3">
        <v>69.440972222222229</v>
      </c>
      <c r="I74" s="2">
        <f t="shared" si="926"/>
        <v>21</v>
      </c>
      <c r="J74" s="3">
        <v>1.2180555555555554</v>
      </c>
      <c r="K74" s="2">
        <f t="shared" ref="K74:M74" si="927">_xlfn.RANK.EQ(J74, J$7:J$375,0)</f>
        <v>23</v>
      </c>
      <c r="L74" s="2">
        <v>648</v>
      </c>
      <c r="M74" s="2">
        <f t="shared" si="927"/>
        <v>68</v>
      </c>
      <c r="N74" s="2">
        <v>225</v>
      </c>
      <c r="O74" s="2">
        <f t="shared" ref="O74:Q74" si="928">_xlfn.RANK.EQ(N74, N$7:N$375,0)</f>
        <v>69</v>
      </c>
      <c r="P74" s="2">
        <v>540</v>
      </c>
      <c r="Q74" s="2">
        <f t="shared" si="928"/>
        <v>58</v>
      </c>
      <c r="R74" s="4">
        <v>0.41699999999999998</v>
      </c>
      <c r="S74" s="2">
        <f t="shared" ref="S74:U74" si="929">_xlfn.RANK.EQ(R74, R$7:R$375,0)</f>
        <v>168</v>
      </c>
      <c r="T74" s="2">
        <v>103</v>
      </c>
      <c r="U74" s="2">
        <f t="shared" si="929"/>
        <v>102</v>
      </c>
      <c r="V74" s="2">
        <v>195</v>
      </c>
      <c r="W74" s="2">
        <f t="shared" ref="W74:Y74" si="930">_xlfn.RANK.EQ(V74, V$7:V$375,0)</f>
        <v>107</v>
      </c>
      <c r="X74" s="4">
        <v>0.52800000000000002</v>
      </c>
      <c r="Y74" s="2">
        <f t="shared" si="930"/>
        <v>142</v>
      </c>
      <c r="Z74" s="2">
        <v>122</v>
      </c>
      <c r="AA74" s="2">
        <f t="shared" ref="AA74:AC74" si="931">_xlfn.RANK.EQ(Z74, Z$7:Z$375,0)</f>
        <v>17</v>
      </c>
      <c r="AB74" s="2">
        <v>345</v>
      </c>
      <c r="AC74" s="2">
        <f t="shared" si="931"/>
        <v>15</v>
      </c>
      <c r="AD74" s="4">
        <v>0.35399999999999998</v>
      </c>
      <c r="AE74" s="2">
        <f t="shared" ref="AE74:AG74" si="932">_xlfn.RANK.EQ(AD74, AD$7:AD$375,0)</f>
        <v>109</v>
      </c>
      <c r="AF74" s="2">
        <v>76</v>
      </c>
      <c r="AG74" s="2">
        <f t="shared" si="932"/>
        <v>93</v>
      </c>
      <c r="AH74" s="2">
        <v>94</v>
      </c>
      <c r="AI74" s="2">
        <f t="shared" ref="AI74:AK74" si="933">_xlfn.RANK.EQ(AH74, AH$7:AH$375,0)</f>
        <v>100</v>
      </c>
      <c r="AJ74" s="4">
        <v>0.80900000000000005</v>
      </c>
      <c r="AK74" s="2">
        <f t="shared" si="933"/>
        <v>75</v>
      </c>
      <c r="AL74" s="2">
        <v>48</v>
      </c>
      <c r="AM74" s="2">
        <f t="shared" ref="AM74:AO74" si="934">_xlfn.RANK.EQ(AL74, AL$7:AL$375,0)</f>
        <v>95</v>
      </c>
      <c r="AN74" s="2">
        <v>155</v>
      </c>
      <c r="AO74" s="2">
        <f t="shared" si="934"/>
        <v>82</v>
      </c>
      <c r="AP74" s="2">
        <v>203</v>
      </c>
      <c r="AQ74" s="2">
        <f t="shared" ref="AQ74:AS74" si="935">_xlfn.RANK.EQ(AP74, AP$7:AP$375,0)</f>
        <v>85</v>
      </c>
      <c r="AR74" s="2">
        <v>113</v>
      </c>
      <c r="AS74" s="2">
        <f t="shared" si="935"/>
        <v>107</v>
      </c>
      <c r="AT74" s="2">
        <v>68</v>
      </c>
      <c r="AU74" s="2">
        <f t="shared" ref="AU74:AW74" si="936">_xlfn.RANK.EQ(AT74, AT$7:AT$375,0)</f>
        <v>101</v>
      </c>
      <c r="AV74" s="2">
        <v>55</v>
      </c>
      <c r="AW74" s="2">
        <f t="shared" si="936"/>
        <v>41</v>
      </c>
      <c r="AX74" s="2">
        <v>6</v>
      </c>
      <c r="AY74" s="2">
        <f t="shared" ref="AY74:BA74" si="937">_xlfn.RANK.EQ(AX74, AX$7:AX$375,0)</f>
        <v>156</v>
      </c>
      <c r="AZ74" s="2">
        <v>10</v>
      </c>
      <c r="BA74" s="2">
        <f t="shared" si="937"/>
        <v>144</v>
      </c>
      <c r="BB74" s="2">
        <v>144</v>
      </c>
      <c r="BC74" s="2">
        <f t="shared" ref="BC74:BE74" si="938">_xlfn.RANK.EQ(BB74, BB$7:BB$375,0)</f>
        <v>26</v>
      </c>
      <c r="BD74" s="2">
        <v>104</v>
      </c>
      <c r="BE74" s="2">
        <f t="shared" si="938"/>
        <v>106</v>
      </c>
      <c r="BF74" s="2">
        <v>574</v>
      </c>
      <c r="BG74" s="2">
        <f t="shared" ref="BG74:BI74" si="939">_xlfn.RANK.EQ(BF74, BF$7:BF$375,0)</f>
        <v>92</v>
      </c>
      <c r="BH74" s="2">
        <v>-95</v>
      </c>
      <c r="BI74" s="2">
        <f t="shared" si="939"/>
        <v>274</v>
      </c>
    </row>
    <row r="75" spans="1:61" x14ac:dyDescent="0.55000000000000004">
      <c r="A75" s="2">
        <v>68</v>
      </c>
      <c r="B75" s="2" t="s">
        <v>125</v>
      </c>
      <c r="C75" s="2" t="s">
        <v>89</v>
      </c>
      <c r="D75" s="2">
        <v>60</v>
      </c>
      <c r="E75" s="2">
        <f t="shared" si="897"/>
        <v>1</v>
      </c>
      <c r="F75" s="2">
        <v>35</v>
      </c>
      <c r="G75" s="2">
        <f t="shared" ref="G75:I75" si="940">_xlfn.RANK.EQ(F75, F$7:F$375,0)</f>
        <v>101</v>
      </c>
      <c r="H75" s="3">
        <v>56.365277777777777</v>
      </c>
      <c r="I75" s="2">
        <f t="shared" si="940"/>
        <v>76</v>
      </c>
      <c r="J75" s="5">
        <v>0.93888888888888888</v>
      </c>
      <c r="K75" s="2">
        <f t="shared" ref="K75:M75" si="941">_xlfn.RANK.EQ(J75, J$7:J$375,0)</f>
        <v>112</v>
      </c>
      <c r="L75" s="2">
        <v>648</v>
      </c>
      <c r="M75" s="2">
        <f t="shared" si="941"/>
        <v>68</v>
      </c>
      <c r="N75" s="2">
        <v>269</v>
      </c>
      <c r="O75" s="2">
        <f t="shared" ref="O75:Q75" si="942">_xlfn.RANK.EQ(N75, N$7:N$375,0)</f>
        <v>47</v>
      </c>
      <c r="P75" s="2">
        <v>425</v>
      </c>
      <c r="Q75" s="2">
        <f t="shared" si="942"/>
        <v>87</v>
      </c>
      <c r="R75" s="4">
        <v>0.63300000000000001</v>
      </c>
      <c r="S75" s="2">
        <f t="shared" ref="S75:U75" si="943">_xlfn.RANK.EQ(R75, R$7:R$375,0)</f>
        <v>5</v>
      </c>
      <c r="T75" s="2">
        <v>269</v>
      </c>
      <c r="U75" s="2">
        <f t="shared" si="943"/>
        <v>23</v>
      </c>
      <c r="V75" s="2">
        <v>417</v>
      </c>
      <c r="W75" s="2">
        <f t="shared" ref="W75:Y75" si="944">_xlfn.RANK.EQ(V75, V$7:V$375,0)</f>
        <v>32</v>
      </c>
      <c r="X75" s="4">
        <v>0.64500000000000002</v>
      </c>
      <c r="Y75" s="2">
        <f t="shared" si="944"/>
        <v>23</v>
      </c>
      <c r="Z75" s="2">
        <v>0</v>
      </c>
      <c r="AA75" s="2">
        <f t="shared" ref="AA75:AC75" si="945">_xlfn.RANK.EQ(Z75, Z$7:Z$375,0)</f>
        <v>329</v>
      </c>
      <c r="AB75" s="2">
        <v>8</v>
      </c>
      <c r="AC75" s="2">
        <f t="shared" si="945"/>
        <v>314</v>
      </c>
      <c r="AD75" s="4">
        <v>0</v>
      </c>
      <c r="AE75" s="2">
        <f t="shared" ref="AE75:AG75" si="946">_xlfn.RANK.EQ(AD75, AD$7:AD$375,0)</f>
        <v>329</v>
      </c>
      <c r="AF75" s="2">
        <v>110</v>
      </c>
      <c r="AG75" s="2">
        <f t="shared" si="946"/>
        <v>60</v>
      </c>
      <c r="AH75" s="2">
        <v>152</v>
      </c>
      <c r="AI75" s="2">
        <f t="shared" ref="AI75:AK75" si="947">_xlfn.RANK.EQ(AH75, AH$7:AH$375,0)</f>
        <v>60</v>
      </c>
      <c r="AJ75" s="4">
        <v>0.72399999999999998</v>
      </c>
      <c r="AK75" s="2">
        <f t="shared" si="947"/>
        <v>181</v>
      </c>
      <c r="AL75" s="2">
        <v>150</v>
      </c>
      <c r="AM75" s="2">
        <f t="shared" ref="AM75:AO75" si="948">_xlfn.RANK.EQ(AL75, AL$7:AL$375,0)</f>
        <v>15</v>
      </c>
      <c r="AN75" s="2">
        <v>242</v>
      </c>
      <c r="AO75" s="2">
        <f t="shared" si="948"/>
        <v>48</v>
      </c>
      <c r="AP75" s="2">
        <v>392</v>
      </c>
      <c r="AQ75" s="2">
        <f t="shared" ref="AQ75:AS75" si="949">_xlfn.RANK.EQ(AP75, AP$7:AP$375,0)</f>
        <v>29</v>
      </c>
      <c r="AR75" s="2">
        <v>89</v>
      </c>
      <c r="AS75" s="2">
        <f t="shared" si="949"/>
        <v>148</v>
      </c>
      <c r="AT75" s="2">
        <v>48</v>
      </c>
      <c r="AU75" s="2">
        <f t="shared" ref="AU75:AW75" si="950">_xlfn.RANK.EQ(AT75, AT$7:AT$375,0)</f>
        <v>148</v>
      </c>
      <c r="AV75" s="2">
        <v>17</v>
      </c>
      <c r="AW75" s="2">
        <f t="shared" si="950"/>
        <v>227</v>
      </c>
      <c r="AX75" s="2">
        <v>54</v>
      </c>
      <c r="AY75" s="2">
        <f t="shared" ref="AY75:BA75" si="951">_xlfn.RANK.EQ(AX75, AX$7:AX$375,0)</f>
        <v>9</v>
      </c>
      <c r="AZ75" s="2">
        <v>9</v>
      </c>
      <c r="BA75" s="2">
        <f t="shared" si="951"/>
        <v>160</v>
      </c>
      <c r="BB75" s="2">
        <v>76</v>
      </c>
      <c r="BC75" s="2">
        <f t="shared" ref="BC75:BE75" si="952">_xlfn.RANK.EQ(BB75, BB$7:BB$375,0)</f>
        <v>202</v>
      </c>
      <c r="BD75" s="2">
        <v>146</v>
      </c>
      <c r="BE75" s="2">
        <f t="shared" si="952"/>
        <v>74</v>
      </c>
      <c r="BF75" s="2">
        <v>1015</v>
      </c>
      <c r="BG75" s="2">
        <f t="shared" ref="BG75:BI75" si="953">_xlfn.RANK.EQ(BF75, BF$7:BF$375,0)</f>
        <v>39</v>
      </c>
      <c r="BH75" s="2">
        <v>182</v>
      </c>
      <c r="BI75" s="2">
        <f t="shared" si="953"/>
        <v>49</v>
      </c>
    </row>
    <row r="76" spans="1:61" x14ac:dyDescent="0.55000000000000004">
      <c r="A76" s="2">
        <v>70</v>
      </c>
      <c r="B76" s="2" t="s">
        <v>126</v>
      </c>
      <c r="C76" s="2" t="s">
        <v>106</v>
      </c>
      <c r="D76" s="2">
        <v>57</v>
      </c>
      <c r="E76" s="2">
        <f t="shared" si="897"/>
        <v>100</v>
      </c>
      <c r="F76" s="2">
        <v>24</v>
      </c>
      <c r="G76" s="2">
        <f t="shared" ref="G76:I76" si="954">_xlfn.RANK.EQ(F76, F$7:F$375,0)</f>
        <v>142</v>
      </c>
      <c r="H76" s="3">
        <v>54.884722222222223</v>
      </c>
      <c r="I76" s="2">
        <f t="shared" si="954"/>
        <v>86</v>
      </c>
      <c r="J76" s="5">
        <v>0.96250000000000002</v>
      </c>
      <c r="K76" s="2">
        <f t="shared" ref="K76:M76" si="955">_xlfn.RANK.EQ(J76, J$7:J$375,0)</f>
        <v>104</v>
      </c>
      <c r="L76" s="2">
        <v>644</v>
      </c>
      <c r="M76" s="2">
        <f t="shared" si="955"/>
        <v>70</v>
      </c>
      <c r="N76" s="2">
        <v>245</v>
      </c>
      <c r="O76" s="2">
        <f t="shared" ref="O76:Q76" si="956">_xlfn.RANK.EQ(N76, N$7:N$375,0)</f>
        <v>64</v>
      </c>
      <c r="P76" s="2">
        <v>574</v>
      </c>
      <c r="Q76" s="2">
        <f t="shared" si="956"/>
        <v>45</v>
      </c>
      <c r="R76" s="4">
        <v>0.42699999999999999</v>
      </c>
      <c r="S76" s="2">
        <f t="shared" ref="S76:U76" si="957">_xlfn.RANK.EQ(R76, R$7:R$375,0)</f>
        <v>156</v>
      </c>
      <c r="T76" s="2">
        <v>145</v>
      </c>
      <c r="U76" s="2">
        <f t="shared" si="957"/>
        <v>74</v>
      </c>
      <c r="V76" s="2">
        <v>312</v>
      </c>
      <c r="W76" s="2">
        <f t="shared" ref="W76:Y76" si="958">_xlfn.RANK.EQ(V76, V$7:V$375,0)</f>
        <v>63</v>
      </c>
      <c r="X76" s="4">
        <v>0.46500000000000002</v>
      </c>
      <c r="Y76" s="2">
        <f t="shared" si="958"/>
        <v>225</v>
      </c>
      <c r="Z76" s="2">
        <v>100</v>
      </c>
      <c r="AA76" s="2">
        <f t="shared" ref="AA76:AC76" si="959">_xlfn.RANK.EQ(Z76, Z$7:Z$375,0)</f>
        <v>32</v>
      </c>
      <c r="AB76" s="2">
        <v>262</v>
      </c>
      <c r="AC76" s="2">
        <f t="shared" si="959"/>
        <v>40</v>
      </c>
      <c r="AD76" s="4">
        <v>0.38200000000000001</v>
      </c>
      <c r="AE76" s="2">
        <f t="shared" ref="AE76:AG76" si="960">_xlfn.RANK.EQ(AD76, AD$7:AD$375,0)</f>
        <v>64</v>
      </c>
      <c r="AF76" s="2">
        <v>54</v>
      </c>
      <c r="AG76" s="2">
        <f t="shared" si="960"/>
        <v>122</v>
      </c>
      <c r="AH76" s="2">
        <v>63</v>
      </c>
      <c r="AI76" s="2">
        <f t="shared" ref="AI76:AK76" si="961">_xlfn.RANK.EQ(AH76, AH$7:AH$375,0)</f>
        <v>138</v>
      </c>
      <c r="AJ76" s="4">
        <v>0.85699999999999998</v>
      </c>
      <c r="AK76" s="2">
        <f t="shared" si="961"/>
        <v>34</v>
      </c>
      <c r="AL76" s="2">
        <v>28</v>
      </c>
      <c r="AM76" s="2">
        <f t="shared" ref="AM76:AO76" si="962">_xlfn.RANK.EQ(AL76, AL$7:AL$375,0)</f>
        <v>159</v>
      </c>
      <c r="AN76" s="2">
        <v>84</v>
      </c>
      <c r="AO76" s="2">
        <f t="shared" si="962"/>
        <v>134</v>
      </c>
      <c r="AP76" s="2">
        <v>112</v>
      </c>
      <c r="AQ76" s="2">
        <f t="shared" ref="AQ76:AS76" si="963">_xlfn.RANK.EQ(AP76, AP$7:AP$375,0)</f>
        <v>140</v>
      </c>
      <c r="AR76" s="2">
        <v>277</v>
      </c>
      <c r="AS76" s="2">
        <f t="shared" si="963"/>
        <v>10</v>
      </c>
      <c r="AT76" s="2">
        <v>112</v>
      </c>
      <c r="AU76" s="2">
        <f t="shared" ref="AU76:AW76" si="964">_xlfn.RANK.EQ(AT76, AT$7:AT$375,0)</f>
        <v>30</v>
      </c>
      <c r="AV76" s="2">
        <v>48</v>
      </c>
      <c r="AW76" s="2">
        <f t="shared" si="964"/>
        <v>67</v>
      </c>
      <c r="AX76" s="2">
        <v>4</v>
      </c>
      <c r="AY76" s="2">
        <f t="shared" ref="AY76:BA76" si="965">_xlfn.RANK.EQ(AX76, AX$7:AX$375,0)</f>
        <v>186</v>
      </c>
      <c r="AZ76" s="2">
        <v>40</v>
      </c>
      <c r="BA76" s="2">
        <f t="shared" si="965"/>
        <v>3</v>
      </c>
      <c r="BB76" s="2">
        <v>133</v>
      </c>
      <c r="BC76" s="2">
        <f t="shared" ref="BC76:BE76" si="966">_xlfn.RANK.EQ(BB76, BB$7:BB$375,0)</f>
        <v>50</v>
      </c>
      <c r="BD76" s="2">
        <v>83</v>
      </c>
      <c r="BE76" s="2">
        <f t="shared" si="966"/>
        <v>129</v>
      </c>
      <c r="BF76" s="2">
        <v>545</v>
      </c>
      <c r="BG76" s="2">
        <f t="shared" ref="BG76:BI76" si="967">_xlfn.RANK.EQ(BF76, BF$7:BF$375,0)</f>
        <v>98</v>
      </c>
      <c r="BH76" s="2">
        <v>-184</v>
      </c>
      <c r="BI76" s="2">
        <f t="shared" si="967"/>
        <v>335</v>
      </c>
    </row>
    <row r="77" spans="1:61" x14ac:dyDescent="0.55000000000000004">
      <c r="A77" s="2">
        <v>71</v>
      </c>
      <c r="B77" s="2" t="s">
        <v>127</v>
      </c>
      <c r="C77" s="2" t="s">
        <v>57</v>
      </c>
      <c r="D77" s="2">
        <v>42</v>
      </c>
      <c r="E77" s="2">
        <f t="shared" si="897"/>
        <v>239</v>
      </c>
      <c r="F77" s="2">
        <v>42</v>
      </c>
      <c r="G77" s="2">
        <f t="shared" ref="G77:I77" si="968">_xlfn.RANK.EQ(F77, F$7:F$375,0)</f>
        <v>75</v>
      </c>
      <c r="H77" s="3">
        <v>52.104166666666664</v>
      </c>
      <c r="I77" s="2">
        <f t="shared" si="968"/>
        <v>103</v>
      </c>
      <c r="J77" s="3">
        <v>1.2402777777777778</v>
      </c>
      <c r="K77" s="2">
        <f t="shared" ref="K77:M77" si="969">_xlfn.RANK.EQ(J77, J$7:J$375,0)</f>
        <v>16</v>
      </c>
      <c r="L77" s="2">
        <v>631</v>
      </c>
      <c r="M77" s="2">
        <f t="shared" si="969"/>
        <v>71</v>
      </c>
      <c r="N77" s="2">
        <v>224</v>
      </c>
      <c r="O77" s="2">
        <f t="shared" ref="O77:Q77" si="970">_xlfn.RANK.EQ(N77, N$7:N$375,0)</f>
        <v>70</v>
      </c>
      <c r="P77" s="2">
        <v>510</v>
      </c>
      <c r="Q77" s="2">
        <f t="shared" si="970"/>
        <v>66</v>
      </c>
      <c r="R77" s="4">
        <v>0.439</v>
      </c>
      <c r="S77" s="2">
        <f t="shared" ref="S77:U77" si="971">_xlfn.RANK.EQ(R77, R$7:R$375,0)</f>
        <v>134</v>
      </c>
      <c r="T77" s="2">
        <v>136</v>
      </c>
      <c r="U77" s="2">
        <f t="shared" si="971"/>
        <v>78</v>
      </c>
      <c r="V77" s="2">
        <v>252</v>
      </c>
      <c r="W77" s="2">
        <f t="shared" ref="W77:Y77" si="972">_xlfn.RANK.EQ(V77, V$7:V$375,0)</f>
        <v>85</v>
      </c>
      <c r="X77" s="4">
        <v>0.54</v>
      </c>
      <c r="Y77" s="2">
        <f t="shared" si="972"/>
        <v>123</v>
      </c>
      <c r="Z77" s="2">
        <v>88</v>
      </c>
      <c r="AA77" s="2">
        <f t="shared" ref="AA77:AC77" si="973">_xlfn.RANK.EQ(Z77, Z$7:Z$375,0)</f>
        <v>49</v>
      </c>
      <c r="AB77" s="2">
        <v>258</v>
      </c>
      <c r="AC77" s="2">
        <f t="shared" si="973"/>
        <v>43</v>
      </c>
      <c r="AD77" s="4">
        <v>0.34100000000000003</v>
      </c>
      <c r="AE77" s="2">
        <f t="shared" ref="AE77:AG77" si="974">_xlfn.RANK.EQ(AD77, AD$7:AD$375,0)</f>
        <v>131</v>
      </c>
      <c r="AF77" s="2">
        <v>95</v>
      </c>
      <c r="AG77" s="2">
        <f t="shared" si="974"/>
        <v>70</v>
      </c>
      <c r="AH77" s="2">
        <v>118</v>
      </c>
      <c r="AI77" s="2">
        <f t="shared" ref="AI77:AK77" si="975">_xlfn.RANK.EQ(AH77, AH$7:AH$375,0)</f>
        <v>82</v>
      </c>
      <c r="AJ77" s="4">
        <v>0.80500000000000005</v>
      </c>
      <c r="AK77" s="2">
        <f t="shared" si="975"/>
        <v>82</v>
      </c>
      <c r="AL77" s="2">
        <v>11</v>
      </c>
      <c r="AM77" s="2">
        <f t="shared" ref="AM77:AO77" si="976">_xlfn.RANK.EQ(AL77, AL$7:AL$375,0)</f>
        <v>272</v>
      </c>
      <c r="AN77" s="2">
        <v>85</v>
      </c>
      <c r="AO77" s="2">
        <f t="shared" si="976"/>
        <v>131</v>
      </c>
      <c r="AP77" s="2">
        <v>96</v>
      </c>
      <c r="AQ77" s="2">
        <f t="shared" ref="AQ77:AS77" si="977">_xlfn.RANK.EQ(AP77, AP$7:AP$375,0)</f>
        <v>168</v>
      </c>
      <c r="AR77" s="2">
        <v>202</v>
      </c>
      <c r="AS77" s="2">
        <f t="shared" si="977"/>
        <v>32</v>
      </c>
      <c r="AT77" s="2">
        <v>108</v>
      </c>
      <c r="AU77" s="2">
        <f t="shared" ref="AU77:AW77" si="978">_xlfn.RANK.EQ(AT77, AT$7:AT$375,0)</f>
        <v>40</v>
      </c>
      <c r="AV77" s="2">
        <v>40</v>
      </c>
      <c r="AW77" s="2">
        <f t="shared" si="978"/>
        <v>104</v>
      </c>
      <c r="AX77" s="2">
        <v>8</v>
      </c>
      <c r="AY77" s="2">
        <f t="shared" ref="AY77:BA77" si="979">_xlfn.RANK.EQ(AX77, AX$7:AX$375,0)</f>
        <v>125</v>
      </c>
      <c r="AZ77" s="2">
        <v>16</v>
      </c>
      <c r="BA77" s="2">
        <f t="shared" si="979"/>
        <v>80</v>
      </c>
      <c r="BB77" s="2">
        <v>97</v>
      </c>
      <c r="BC77" s="2">
        <f t="shared" ref="BC77:BE77" si="980">_xlfn.RANK.EQ(BB77, BB$7:BB$375,0)</f>
        <v>147</v>
      </c>
      <c r="BD77" s="2">
        <v>188</v>
      </c>
      <c r="BE77" s="2">
        <f t="shared" si="980"/>
        <v>49</v>
      </c>
      <c r="BF77" s="2">
        <v>632</v>
      </c>
      <c r="BG77" s="2">
        <f t="shared" ref="BG77:BI77" si="981">_xlfn.RANK.EQ(BF77, BF$7:BF$375,0)</f>
        <v>82</v>
      </c>
      <c r="BH77" s="2">
        <v>52</v>
      </c>
      <c r="BI77" s="2">
        <f t="shared" si="981"/>
        <v>101</v>
      </c>
    </row>
    <row r="78" spans="1:61" x14ac:dyDescent="0.55000000000000004">
      <c r="A78" s="2">
        <v>72</v>
      </c>
      <c r="B78" s="2" t="s">
        <v>128</v>
      </c>
      <c r="C78" s="2" t="s">
        <v>74</v>
      </c>
      <c r="D78" s="2">
        <v>60</v>
      </c>
      <c r="E78" s="2">
        <f t="shared" si="897"/>
        <v>1</v>
      </c>
      <c r="F78" s="2">
        <v>59</v>
      </c>
      <c r="G78" s="2">
        <f t="shared" ref="G78:I78" si="982">_xlfn.RANK.EQ(F78, F$7:F$375,0)</f>
        <v>14</v>
      </c>
      <c r="H78" s="3">
        <v>54.949305555555554</v>
      </c>
      <c r="I78" s="2">
        <f t="shared" si="982"/>
        <v>85</v>
      </c>
      <c r="J78" s="5">
        <v>0.91527777777777775</v>
      </c>
      <c r="K78" s="2">
        <f t="shared" ref="K78:M78" si="983">_xlfn.RANK.EQ(J78, J$7:J$375,0)</f>
        <v>125</v>
      </c>
      <c r="L78" s="2">
        <v>620</v>
      </c>
      <c r="M78" s="2">
        <f t="shared" si="983"/>
        <v>72</v>
      </c>
      <c r="N78" s="2">
        <v>214</v>
      </c>
      <c r="O78" s="2">
        <f t="shared" ref="O78:Q78" si="984">_xlfn.RANK.EQ(N78, N$7:N$375,0)</f>
        <v>75</v>
      </c>
      <c r="P78" s="2">
        <v>545</v>
      </c>
      <c r="Q78" s="2">
        <f t="shared" si="984"/>
        <v>57</v>
      </c>
      <c r="R78" s="4">
        <v>0.39300000000000002</v>
      </c>
      <c r="S78" s="2">
        <f t="shared" ref="S78:U78" si="985">_xlfn.RANK.EQ(R78, R$7:R$375,0)</f>
        <v>217</v>
      </c>
      <c r="T78" s="2">
        <v>119</v>
      </c>
      <c r="U78" s="2">
        <f t="shared" si="985"/>
        <v>95</v>
      </c>
      <c r="V78" s="2">
        <v>277</v>
      </c>
      <c r="W78" s="2">
        <f t="shared" ref="W78:Y78" si="986">_xlfn.RANK.EQ(V78, V$7:V$375,0)</f>
        <v>74</v>
      </c>
      <c r="X78" s="4">
        <v>0.43</v>
      </c>
      <c r="Y78" s="2">
        <f t="shared" si="986"/>
        <v>269</v>
      </c>
      <c r="Z78" s="2">
        <v>95</v>
      </c>
      <c r="AA78" s="2">
        <f t="shared" ref="AA78:AC78" si="987">_xlfn.RANK.EQ(Z78, Z$7:Z$375,0)</f>
        <v>39</v>
      </c>
      <c r="AB78" s="2">
        <v>268</v>
      </c>
      <c r="AC78" s="2">
        <f t="shared" si="987"/>
        <v>38</v>
      </c>
      <c r="AD78" s="4">
        <v>0.35399999999999998</v>
      </c>
      <c r="AE78" s="2">
        <f t="shared" ref="AE78:AG78" si="988">_xlfn.RANK.EQ(AD78, AD$7:AD$375,0)</f>
        <v>109</v>
      </c>
      <c r="AF78" s="2">
        <v>97</v>
      </c>
      <c r="AG78" s="2">
        <f t="shared" si="988"/>
        <v>69</v>
      </c>
      <c r="AH78" s="2">
        <v>126</v>
      </c>
      <c r="AI78" s="2">
        <f t="shared" ref="AI78:AK78" si="989">_xlfn.RANK.EQ(AH78, AH$7:AH$375,0)</f>
        <v>74</v>
      </c>
      <c r="AJ78" s="4">
        <v>0.77</v>
      </c>
      <c r="AK78" s="2">
        <f t="shared" si="989"/>
        <v>121</v>
      </c>
      <c r="AL78" s="2">
        <v>26</v>
      </c>
      <c r="AM78" s="2">
        <f t="shared" ref="AM78:AO78" si="990">_xlfn.RANK.EQ(AL78, AL$7:AL$375,0)</f>
        <v>168</v>
      </c>
      <c r="AN78" s="2">
        <v>77</v>
      </c>
      <c r="AO78" s="2">
        <f t="shared" si="990"/>
        <v>151</v>
      </c>
      <c r="AP78" s="2">
        <v>103</v>
      </c>
      <c r="AQ78" s="2">
        <f t="shared" ref="AQ78:AS78" si="991">_xlfn.RANK.EQ(AP78, AP$7:AP$375,0)</f>
        <v>157</v>
      </c>
      <c r="AR78" s="2">
        <v>198</v>
      </c>
      <c r="AS78" s="2">
        <f t="shared" si="991"/>
        <v>34</v>
      </c>
      <c r="AT78" s="2">
        <v>77</v>
      </c>
      <c r="AU78" s="2">
        <f t="shared" ref="AU78:AW78" si="992">_xlfn.RANK.EQ(AT78, AT$7:AT$375,0)</f>
        <v>84</v>
      </c>
      <c r="AV78" s="2">
        <v>76</v>
      </c>
      <c r="AW78" s="2">
        <f t="shared" si="992"/>
        <v>17</v>
      </c>
      <c r="AX78" s="2">
        <v>2</v>
      </c>
      <c r="AY78" s="2">
        <f t="shared" ref="AY78:BA78" si="993">_xlfn.RANK.EQ(AX78, AX$7:AX$375,0)</f>
        <v>234</v>
      </c>
      <c r="AZ78" s="2">
        <v>33</v>
      </c>
      <c r="BA78" s="2">
        <f t="shared" si="993"/>
        <v>12</v>
      </c>
      <c r="BB78" s="2">
        <v>126</v>
      </c>
      <c r="BC78" s="2">
        <f t="shared" ref="BC78:BE78" si="994">_xlfn.RANK.EQ(BB78, BB$7:BB$375,0)</f>
        <v>65</v>
      </c>
      <c r="BD78" s="2">
        <v>154</v>
      </c>
      <c r="BE78" s="2">
        <f t="shared" si="994"/>
        <v>69</v>
      </c>
      <c r="BF78" s="2">
        <v>556</v>
      </c>
      <c r="BG78" s="2">
        <f t="shared" ref="BG78:BI78" si="995">_xlfn.RANK.EQ(BF78, BF$7:BF$375,0)</f>
        <v>94</v>
      </c>
      <c r="BH78" s="2">
        <v>-49</v>
      </c>
      <c r="BI78" s="2">
        <f t="shared" si="995"/>
        <v>231</v>
      </c>
    </row>
    <row r="79" spans="1:61" x14ac:dyDescent="0.55000000000000004">
      <c r="A79" s="2">
        <v>73</v>
      </c>
      <c r="B79" s="2" t="s">
        <v>129</v>
      </c>
      <c r="C79" s="2" t="s">
        <v>52</v>
      </c>
      <c r="D79" s="2">
        <v>49</v>
      </c>
      <c r="E79" s="2">
        <f t="shared" si="897"/>
        <v>194</v>
      </c>
      <c r="F79" s="2">
        <v>46</v>
      </c>
      <c r="G79" s="2">
        <f t="shared" ref="G79:I79" si="996">_xlfn.RANK.EQ(F79, F$7:F$375,0)</f>
        <v>64</v>
      </c>
      <c r="H79" s="3">
        <v>53.462499999999999</v>
      </c>
      <c r="I79" s="2">
        <f t="shared" si="996"/>
        <v>98</v>
      </c>
      <c r="J79" s="3">
        <v>1.0909722222222222</v>
      </c>
      <c r="K79" s="2">
        <f t="shared" ref="K79:M79" si="997">_xlfn.RANK.EQ(J79, J$7:J$375,0)</f>
        <v>63</v>
      </c>
      <c r="L79" s="2">
        <v>614</v>
      </c>
      <c r="M79" s="2">
        <f t="shared" si="997"/>
        <v>73</v>
      </c>
      <c r="N79" s="2">
        <v>251</v>
      </c>
      <c r="O79" s="2">
        <f t="shared" ref="O79:Q79" si="998">_xlfn.RANK.EQ(N79, N$7:N$375,0)</f>
        <v>59</v>
      </c>
      <c r="P79" s="2">
        <v>423</v>
      </c>
      <c r="Q79" s="2">
        <f t="shared" si="998"/>
        <v>89</v>
      </c>
      <c r="R79" s="4">
        <v>0.59299999999999997</v>
      </c>
      <c r="S79" s="2">
        <f t="shared" ref="S79:U79" si="999">_xlfn.RANK.EQ(R79, R$7:R$375,0)</f>
        <v>20</v>
      </c>
      <c r="T79" s="2">
        <v>237</v>
      </c>
      <c r="U79" s="2">
        <f t="shared" si="999"/>
        <v>34</v>
      </c>
      <c r="V79" s="2">
        <v>361</v>
      </c>
      <c r="W79" s="2">
        <f t="shared" ref="W79:Y79" si="1000">_xlfn.RANK.EQ(V79, V$7:V$375,0)</f>
        <v>45</v>
      </c>
      <c r="X79" s="4">
        <v>0.65700000000000003</v>
      </c>
      <c r="Y79" s="2">
        <f t="shared" si="1000"/>
        <v>18</v>
      </c>
      <c r="Z79" s="2">
        <v>14</v>
      </c>
      <c r="AA79" s="2">
        <f t="shared" ref="AA79:AC79" si="1001">_xlfn.RANK.EQ(Z79, Z$7:Z$375,0)</f>
        <v>236</v>
      </c>
      <c r="AB79" s="2">
        <v>62</v>
      </c>
      <c r="AC79" s="2">
        <f t="shared" si="1001"/>
        <v>215</v>
      </c>
      <c r="AD79" s="4">
        <v>0.22600000000000001</v>
      </c>
      <c r="AE79" s="2">
        <f t="shared" ref="AE79:AG79" si="1002">_xlfn.RANK.EQ(AD79, AD$7:AD$375,0)</f>
        <v>284</v>
      </c>
      <c r="AF79" s="2">
        <v>98</v>
      </c>
      <c r="AG79" s="2">
        <f t="shared" si="1002"/>
        <v>67</v>
      </c>
      <c r="AH79" s="2">
        <v>132</v>
      </c>
      <c r="AI79" s="2">
        <f t="shared" ref="AI79:AK79" si="1003">_xlfn.RANK.EQ(AH79, AH$7:AH$375,0)</f>
        <v>69</v>
      </c>
      <c r="AJ79" s="4">
        <v>0.74199999999999999</v>
      </c>
      <c r="AK79" s="2">
        <f t="shared" si="1003"/>
        <v>162</v>
      </c>
      <c r="AL79" s="2">
        <v>163</v>
      </c>
      <c r="AM79" s="2">
        <f t="shared" ref="AM79:AO79" si="1004">_xlfn.RANK.EQ(AL79, AL$7:AL$375,0)</f>
        <v>12</v>
      </c>
      <c r="AN79" s="2">
        <v>242</v>
      </c>
      <c r="AO79" s="2">
        <f t="shared" si="1004"/>
        <v>48</v>
      </c>
      <c r="AP79" s="2">
        <v>405</v>
      </c>
      <c r="AQ79" s="2">
        <f t="shared" ref="AQ79:AS79" si="1005">_xlfn.RANK.EQ(AP79, AP$7:AP$375,0)</f>
        <v>26</v>
      </c>
      <c r="AR79" s="2">
        <v>114</v>
      </c>
      <c r="AS79" s="2">
        <f t="shared" si="1005"/>
        <v>103</v>
      </c>
      <c r="AT79" s="2">
        <v>49</v>
      </c>
      <c r="AU79" s="2">
        <f t="shared" ref="AU79:AW79" si="1006">_xlfn.RANK.EQ(AT79, AT$7:AT$375,0)</f>
        <v>146</v>
      </c>
      <c r="AV79" s="2">
        <v>30</v>
      </c>
      <c r="AW79" s="2">
        <f t="shared" si="1006"/>
        <v>145</v>
      </c>
      <c r="AX79" s="2">
        <v>26</v>
      </c>
      <c r="AY79" s="2">
        <f t="shared" ref="AY79:BA79" si="1007">_xlfn.RANK.EQ(AX79, AX$7:AX$375,0)</f>
        <v>48</v>
      </c>
      <c r="AZ79" s="2">
        <v>24</v>
      </c>
      <c r="BA79" s="2">
        <f t="shared" si="1007"/>
        <v>29</v>
      </c>
      <c r="BB79" s="2">
        <v>112</v>
      </c>
      <c r="BC79" s="2">
        <f t="shared" ref="BC79:BE79" si="1008">_xlfn.RANK.EQ(BB79, BB$7:BB$375,0)</f>
        <v>104</v>
      </c>
      <c r="BD79" s="2">
        <v>132</v>
      </c>
      <c r="BE79" s="2">
        <f t="shared" si="1008"/>
        <v>84</v>
      </c>
      <c r="BF79" s="2">
        <v>929</v>
      </c>
      <c r="BG79" s="2">
        <f t="shared" ref="BG79:BI79" si="1009">_xlfn.RANK.EQ(BF79, BF$7:BF$375,0)</f>
        <v>51</v>
      </c>
      <c r="BH79" s="2">
        <v>426</v>
      </c>
      <c r="BI79" s="2">
        <f t="shared" si="1009"/>
        <v>8</v>
      </c>
    </row>
    <row r="80" spans="1:61" x14ac:dyDescent="0.55000000000000004">
      <c r="A80" s="2">
        <v>74</v>
      </c>
      <c r="B80" s="2" t="s">
        <v>130</v>
      </c>
      <c r="C80" s="2" t="s">
        <v>86</v>
      </c>
      <c r="D80" s="2">
        <v>57</v>
      </c>
      <c r="E80" s="2">
        <f t="shared" si="897"/>
        <v>100</v>
      </c>
      <c r="F80" s="2">
        <v>34</v>
      </c>
      <c r="G80" s="2">
        <f t="shared" ref="G80:I80" si="1010">_xlfn.RANK.EQ(F80, F$7:F$375,0)</f>
        <v>109</v>
      </c>
      <c r="H80" s="3">
        <v>62.423611111111114</v>
      </c>
      <c r="I80" s="2">
        <f t="shared" si="1010"/>
        <v>47</v>
      </c>
      <c r="J80" s="3">
        <v>1.0951388888888889</v>
      </c>
      <c r="K80" s="2">
        <f t="shared" ref="K80:M80" si="1011">_xlfn.RANK.EQ(J80, J$7:J$375,0)</f>
        <v>62</v>
      </c>
      <c r="L80" s="2">
        <v>611</v>
      </c>
      <c r="M80" s="2">
        <f t="shared" si="1011"/>
        <v>74</v>
      </c>
      <c r="N80" s="2">
        <v>264</v>
      </c>
      <c r="O80" s="2">
        <f t="shared" ref="O80:Q80" si="1012">_xlfn.RANK.EQ(N80, N$7:N$375,0)</f>
        <v>53</v>
      </c>
      <c r="P80" s="2">
        <v>413</v>
      </c>
      <c r="Q80" s="2">
        <f t="shared" si="1012"/>
        <v>93</v>
      </c>
      <c r="R80" s="4">
        <v>0.63900000000000001</v>
      </c>
      <c r="S80" s="2">
        <f t="shared" ref="S80:U80" si="1013">_xlfn.RANK.EQ(R80, R$7:R$375,0)</f>
        <v>4</v>
      </c>
      <c r="T80" s="2">
        <v>244</v>
      </c>
      <c r="U80" s="2">
        <f t="shared" si="1013"/>
        <v>29</v>
      </c>
      <c r="V80" s="2">
        <v>356</v>
      </c>
      <c r="W80" s="2">
        <f t="shared" ref="W80:Y80" si="1014">_xlfn.RANK.EQ(V80, V$7:V$375,0)</f>
        <v>48</v>
      </c>
      <c r="X80" s="4">
        <v>0.68500000000000005</v>
      </c>
      <c r="Y80" s="2">
        <f t="shared" si="1014"/>
        <v>10</v>
      </c>
      <c r="Z80" s="2">
        <v>20</v>
      </c>
      <c r="AA80" s="2">
        <f t="shared" ref="AA80:AC80" si="1015">_xlfn.RANK.EQ(Z80, Z$7:Z$375,0)</f>
        <v>208</v>
      </c>
      <c r="AB80" s="2">
        <v>57</v>
      </c>
      <c r="AC80" s="2">
        <f t="shared" si="1015"/>
        <v>225</v>
      </c>
      <c r="AD80" s="4">
        <v>0.35099999999999998</v>
      </c>
      <c r="AE80" s="2">
        <f t="shared" ref="AE80:AG80" si="1016">_xlfn.RANK.EQ(AD80, AD$7:AD$375,0)</f>
        <v>114</v>
      </c>
      <c r="AF80" s="2">
        <v>63</v>
      </c>
      <c r="AG80" s="2">
        <f t="shared" si="1016"/>
        <v>106</v>
      </c>
      <c r="AH80" s="2">
        <v>100</v>
      </c>
      <c r="AI80" s="2">
        <f t="shared" ref="AI80:AK80" si="1017">_xlfn.RANK.EQ(AH80, AH$7:AH$375,0)</f>
        <v>93</v>
      </c>
      <c r="AJ80" s="4">
        <v>0.63</v>
      </c>
      <c r="AK80" s="2">
        <f t="shared" si="1017"/>
        <v>256</v>
      </c>
      <c r="AL80" s="2">
        <v>119</v>
      </c>
      <c r="AM80" s="2">
        <f t="shared" ref="AM80:AO80" si="1018">_xlfn.RANK.EQ(AL80, AL$7:AL$375,0)</f>
        <v>30</v>
      </c>
      <c r="AN80" s="2">
        <v>261</v>
      </c>
      <c r="AO80" s="2">
        <f t="shared" si="1018"/>
        <v>35</v>
      </c>
      <c r="AP80" s="2">
        <v>380</v>
      </c>
      <c r="AQ80" s="2">
        <f t="shared" ref="AQ80:AS80" si="1019">_xlfn.RANK.EQ(AP80, AP$7:AP$375,0)</f>
        <v>30</v>
      </c>
      <c r="AR80" s="2">
        <v>114</v>
      </c>
      <c r="AS80" s="2">
        <f t="shared" si="1019"/>
        <v>103</v>
      </c>
      <c r="AT80" s="2">
        <v>67</v>
      </c>
      <c r="AU80" s="2">
        <f t="shared" ref="AU80:AW80" si="1020">_xlfn.RANK.EQ(AT80, AT$7:AT$375,0)</f>
        <v>104</v>
      </c>
      <c r="AV80" s="2">
        <v>50</v>
      </c>
      <c r="AW80" s="2">
        <f t="shared" si="1020"/>
        <v>62</v>
      </c>
      <c r="AX80" s="2">
        <v>26</v>
      </c>
      <c r="AY80" s="2">
        <f t="shared" ref="AY80:BA80" si="1021">_xlfn.RANK.EQ(AX80, AX$7:AX$375,0)</f>
        <v>48</v>
      </c>
      <c r="AZ80" s="2">
        <v>3</v>
      </c>
      <c r="BA80" s="2">
        <f t="shared" si="1021"/>
        <v>267</v>
      </c>
      <c r="BB80" s="2">
        <v>106</v>
      </c>
      <c r="BC80" s="2">
        <f t="shared" ref="BC80:BE80" si="1022">_xlfn.RANK.EQ(BB80, BB$7:BB$375,0)</f>
        <v>120</v>
      </c>
      <c r="BD80" s="2">
        <v>126</v>
      </c>
      <c r="BE80" s="2">
        <f t="shared" si="1022"/>
        <v>89</v>
      </c>
      <c r="BF80" s="2">
        <v>945</v>
      </c>
      <c r="BG80" s="2">
        <f t="shared" ref="BG80:BI80" si="1023">_xlfn.RANK.EQ(BF80, BF$7:BF$375,0)</f>
        <v>49</v>
      </c>
      <c r="BH80" s="2">
        <v>-366</v>
      </c>
      <c r="BI80" s="2">
        <f t="shared" si="1023"/>
        <v>365</v>
      </c>
    </row>
    <row r="81" spans="1:61" x14ac:dyDescent="0.55000000000000004">
      <c r="A81" s="2">
        <v>75</v>
      </c>
      <c r="B81" s="2" t="s">
        <v>131</v>
      </c>
      <c r="C81" s="2" t="s">
        <v>50</v>
      </c>
      <c r="D81" s="2">
        <v>57</v>
      </c>
      <c r="E81" s="2">
        <f t="shared" si="897"/>
        <v>100</v>
      </c>
      <c r="F81" s="2">
        <v>43</v>
      </c>
      <c r="G81" s="2">
        <f t="shared" ref="G81:I81" si="1024">_xlfn.RANK.EQ(F81, F$7:F$375,0)</f>
        <v>73</v>
      </c>
      <c r="H81" s="3">
        <v>57.09097222222222</v>
      </c>
      <c r="I81" s="2">
        <f t="shared" si="1024"/>
        <v>73</v>
      </c>
      <c r="J81" s="3">
        <v>1.0013888888888889</v>
      </c>
      <c r="K81" s="2">
        <f t="shared" ref="K81:M81" si="1025">_xlfn.RANK.EQ(J81, J$7:J$375,0)</f>
        <v>94</v>
      </c>
      <c r="L81" s="2">
        <v>589</v>
      </c>
      <c r="M81" s="2">
        <f t="shared" si="1025"/>
        <v>75</v>
      </c>
      <c r="N81" s="2">
        <v>191</v>
      </c>
      <c r="O81" s="2">
        <f t="shared" ref="O81:Q81" si="1026">_xlfn.RANK.EQ(N81, N$7:N$375,0)</f>
        <v>85</v>
      </c>
      <c r="P81" s="2">
        <v>457</v>
      </c>
      <c r="Q81" s="2">
        <f t="shared" si="1026"/>
        <v>75</v>
      </c>
      <c r="R81" s="4">
        <v>0.41799999999999998</v>
      </c>
      <c r="S81" s="2">
        <f t="shared" ref="S81:U81" si="1027">_xlfn.RANK.EQ(R81, R$7:R$375,0)</f>
        <v>166</v>
      </c>
      <c r="T81" s="2">
        <v>54</v>
      </c>
      <c r="U81" s="2">
        <f t="shared" si="1027"/>
        <v>165</v>
      </c>
      <c r="V81" s="2">
        <v>105</v>
      </c>
      <c r="W81" s="2">
        <f t="shared" ref="W81:Y81" si="1028">_xlfn.RANK.EQ(V81, V$7:V$375,0)</f>
        <v>171</v>
      </c>
      <c r="X81" s="4">
        <v>0.51400000000000001</v>
      </c>
      <c r="Y81" s="2">
        <f t="shared" si="1028"/>
        <v>159</v>
      </c>
      <c r="Z81" s="2">
        <v>137</v>
      </c>
      <c r="AA81" s="2">
        <f t="shared" ref="AA81:AC81" si="1029">_xlfn.RANK.EQ(Z81, Z$7:Z$375,0)</f>
        <v>11</v>
      </c>
      <c r="AB81" s="2">
        <v>352</v>
      </c>
      <c r="AC81" s="2">
        <f t="shared" si="1029"/>
        <v>13</v>
      </c>
      <c r="AD81" s="4">
        <v>0.38900000000000001</v>
      </c>
      <c r="AE81" s="2">
        <f t="shared" ref="AE81:AG81" si="1030">_xlfn.RANK.EQ(AD81, AD$7:AD$375,0)</f>
        <v>52</v>
      </c>
      <c r="AF81" s="2">
        <v>70</v>
      </c>
      <c r="AG81" s="2">
        <f t="shared" si="1030"/>
        <v>98</v>
      </c>
      <c r="AH81" s="2">
        <v>90</v>
      </c>
      <c r="AI81" s="2">
        <f t="shared" ref="AI81:AK81" si="1031">_xlfn.RANK.EQ(AH81, AH$7:AH$375,0)</f>
        <v>104</v>
      </c>
      <c r="AJ81" s="4">
        <v>0.77800000000000002</v>
      </c>
      <c r="AK81" s="2">
        <f t="shared" si="1031"/>
        <v>112</v>
      </c>
      <c r="AL81" s="2">
        <v>16</v>
      </c>
      <c r="AM81" s="2">
        <f t="shared" ref="AM81:AO81" si="1032">_xlfn.RANK.EQ(AL81, AL$7:AL$375,0)</f>
        <v>233</v>
      </c>
      <c r="AN81" s="2">
        <v>129</v>
      </c>
      <c r="AO81" s="2">
        <f t="shared" si="1032"/>
        <v>90</v>
      </c>
      <c r="AP81" s="2">
        <v>145</v>
      </c>
      <c r="AQ81" s="2">
        <f t="shared" ref="AQ81:AS81" si="1033">_xlfn.RANK.EQ(AP81, AP$7:AP$375,0)</f>
        <v>104</v>
      </c>
      <c r="AR81" s="2">
        <v>90</v>
      </c>
      <c r="AS81" s="2">
        <f t="shared" si="1033"/>
        <v>144</v>
      </c>
      <c r="AT81" s="2">
        <v>55</v>
      </c>
      <c r="AU81" s="2">
        <f t="shared" ref="AU81:AW81" si="1034">_xlfn.RANK.EQ(AT81, AT$7:AT$375,0)</f>
        <v>131</v>
      </c>
      <c r="AV81" s="2">
        <v>42</v>
      </c>
      <c r="AW81" s="2">
        <f t="shared" si="1034"/>
        <v>97</v>
      </c>
      <c r="AX81" s="2">
        <v>3</v>
      </c>
      <c r="AY81" s="2">
        <f t="shared" ref="AY81:BA81" si="1035">_xlfn.RANK.EQ(AX81, AX$7:AX$375,0)</f>
        <v>208</v>
      </c>
      <c r="AZ81" s="2">
        <v>5</v>
      </c>
      <c r="BA81" s="2">
        <f t="shared" si="1035"/>
        <v>227</v>
      </c>
      <c r="BB81" s="2">
        <v>136</v>
      </c>
      <c r="BC81" s="2">
        <f t="shared" ref="BC81:BE81" si="1036">_xlfn.RANK.EQ(BB81, BB$7:BB$375,0)</f>
        <v>42</v>
      </c>
      <c r="BD81" s="2">
        <v>98</v>
      </c>
      <c r="BE81" s="2">
        <f t="shared" si="1036"/>
        <v>114</v>
      </c>
      <c r="BF81" s="2">
        <v>485</v>
      </c>
      <c r="BG81" s="2">
        <f t="shared" ref="BG81:BI81" si="1037">_xlfn.RANK.EQ(BF81, BF$7:BF$375,0)</f>
        <v>105</v>
      </c>
      <c r="BH81" s="2">
        <v>144</v>
      </c>
      <c r="BI81" s="2">
        <f t="shared" si="1037"/>
        <v>68</v>
      </c>
    </row>
    <row r="82" spans="1:61" x14ac:dyDescent="0.55000000000000004">
      <c r="A82" s="2">
        <v>76</v>
      </c>
      <c r="B82" s="2" t="s">
        <v>132</v>
      </c>
      <c r="C82" s="2" t="s">
        <v>64</v>
      </c>
      <c r="D82" s="2">
        <v>60</v>
      </c>
      <c r="E82" s="2">
        <f t="shared" si="897"/>
        <v>1</v>
      </c>
      <c r="F82" s="2">
        <v>48</v>
      </c>
      <c r="G82" s="2">
        <f t="shared" ref="G82:I82" si="1038">_xlfn.RANK.EQ(F82, F$7:F$375,0)</f>
        <v>58</v>
      </c>
      <c r="H82" s="3">
        <v>64.501388888888883</v>
      </c>
      <c r="I82" s="2">
        <f t="shared" si="1038"/>
        <v>37</v>
      </c>
      <c r="J82" s="3">
        <v>1.075</v>
      </c>
      <c r="K82" s="2">
        <f t="shared" ref="K82:M82" si="1039">_xlfn.RANK.EQ(J82, J$7:J$375,0)</f>
        <v>69</v>
      </c>
      <c r="L82" s="2">
        <v>577</v>
      </c>
      <c r="M82" s="2">
        <f t="shared" si="1039"/>
        <v>76</v>
      </c>
      <c r="N82" s="2">
        <v>185</v>
      </c>
      <c r="O82" s="2">
        <f t="shared" ref="O82:Q82" si="1040">_xlfn.RANK.EQ(N82, N$7:N$375,0)</f>
        <v>88</v>
      </c>
      <c r="P82" s="2">
        <v>519</v>
      </c>
      <c r="Q82" s="2">
        <f t="shared" si="1040"/>
        <v>60</v>
      </c>
      <c r="R82" s="4">
        <v>0.35599999999999998</v>
      </c>
      <c r="S82" s="2">
        <f t="shared" ref="S82:U82" si="1041">_xlfn.RANK.EQ(R82, R$7:R$375,0)</f>
        <v>266</v>
      </c>
      <c r="T82" s="2">
        <v>62</v>
      </c>
      <c r="U82" s="2">
        <f t="shared" si="1041"/>
        <v>152</v>
      </c>
      <c r="V82" s="2">
        <v>162</v>
      </c>
      <c r="W82" s="2">
        <f t="shared" ref="W82:Y82" si="1042">_xlfn.RANK.EQ(V82, V$7:V$375,0)</f>
        <v>126</v>
      </c>
      <c r="X82" s="4">
        <v>0.38300000000000001</v>
      </c>
      <c r="Y82" s="2">
        <f t="shared" si="1042"/>
        <v>308</v>
      </c>
      <c r="Z82" s="2">
        <v>123</v>
      </c>
      <c r="AA82" s="2">
        <f t="shared" ref="AA82:AC82" si="1043">_xlfn.RANK.EQ(Z82, Z$7:Z$375,0)</f>
        <v>16</v>
      </c>
      <c r="AB82" s="2">
        <v>357</v>
      </c>
      <c r="AC82" s="2">
        <f t="shared" si="1043"/>
        <v>11</v>
      </c>
      <c r="AD82" s="4">
        <v>0.34499999999999997</v>
      </c>
      <c r="AE82" s="2">
        <f t="shared" ref="AE82:AG82" si="1044">_xlfn.RANK.EQ(AD82, AD$7:AD$375,0)</f>
        <v>121</v>
      </c>
      <c r="AF82" s="2">
        <v>84</v>
      </c>
      <c r="AG82" s="2">
        <f t="shared" si="1044"/>
        <v>80</v>
      </c>
      <c r="AH82" s="2">
        <v>95</v>
      </c>
      <c r="AI82" s="2">
        <f t="shared" ref="AI82:AK82" si="1045">_xlfn.RANK.EQ(AH82, AH$7:AH$375,0)</f>
        <v>98</v>
      </c>
      <c r="AJ82" s="4">
        <v>0.88400000000000001</v>
      </c>
      <c r="AK82" s="2">
        <f t="shared" si="1045"/>
        <v>22</v>
      </c>
      <c r="AL82" s="2">
        <v>12</v>
      </c>
      <c r="AM82" s="2">
        <f t="shared" ref="AM82:AO82" si="1046">_xlfn.RANK.EQ(AL82, AL$7:AL$375,0)</f>
        <v>264</v>
      </c>
      <c r="AN82" s="2">
        <v>70</v>
      </c>
      <c r="AO82" s="2">
        <f t="shared" si="1046"/>
        <v>160</v>
      </c>
      <c r="AP82" s="2">
        <v>82</v>
      </c>
      <c r="AQ82" s="2">
        <f t="shared" ref="AQ82:AS82" si="1047">_xlfn.RANK.EQ(AP82, AP$7:AP$375,0)</f>
        <v>183</v>
      </c>
      <c r="AR82" s="2">
        <v>275</v>
      </c>
      <c r="AS82" s="2">
        <f t="shared" si="1047"/>
        <v>11</v>
      </c>
      <c r="AT82" s="2">
        <v>113</v>
      </c>
      <c r="AU82" s="2">
        <f t="shared" ref="AU82:AW82" si="1048">_xlfn.RANK.EQ(AT82, AT$7:AT$375,0)</f>
        <v>29</v>
      </c>
      <c r="AV82" s="2">
        <v>28</v>
      </c>
      <c r="AW82" s="2">
        <f t="shared" si="1048"/>
        <v>156</v>
      </c>
      <c r="AX82" s="2">
        <v>0</v>
      </c>
      <c r="AY82" s="2">
        <f t="shared" ref="AY82:BA82" si="1049">_xlfn.RANK.EQ(AX82, AX$7:AX$375,0)</f>
        <v>298</v>
      </c>
      <c r="AZ82" s="2">
        <v>25</v>
      </c>
      <c r="BA82" s="2">
        <f t="shared" si="1049"/>
        <v>25</v>
      </c>
      <c r="BB82" s="2">
        <v>71</v>
      </c>
      <c r="BC82" s="2">
        <f t="shared" ref="BC82:BE82" si="1050">_xlfn.RANK.EQ(BB82, BB$7:BB$375,0)</f>
        <v>211</v>
      </c>
      <c r="BD82" s="2">
        <v>121</v>
      </c>
      <c r="BE82" s="2">
        <f t="shared" si="1050"/>
        <v>95</v>
      </c>
      <c r="BF82" s="2">
        <v>529</v>
      </c>
      <c r="BG82" s="2">
        <f t="shared" ref="BG82:BI82" si="1051">_xlfn.RANK.EQ(BF82, BF$7:BF$375,0)</f>
        <v>99</v>
      </c>
      <c r="BH82" s="2">
        <v>310</v>
      </c>
      <c r="BI82" s="2">
        <f t="shared" si="1051"/>
        <v>24</v>
      </c>
    </row>
    <row r="83" spans="1:61" x14ac:dyDescent="0.55000000000000004">
      <c r="A83" s="2">
        <v>77</v>
      </c>
      <c r="B83" s="2" t="s">
        <v>133</v>
      </c>
      <c r="C83" s="2" t="s">
        <v>40</v>
      </c>
      <c r="D83" s="2">
        <v>49</v>
      </c>
      <c r="E83" s="2">
        <f t="shared" si="897"/>
        <v>194</v>
      </c>
      <c r="F83" s="2">
        <v>47</v>
      </c>
      <c r="G83" s="2">
        <f t="shared" ref="G83:I83" si="1052">_xlfn.RANK.EQ(F83, F$7:F$375,0)</f>
        <v>61</v>
      </c>
      <c r="H83" s="3">
        <v>62.954166666666666</v>
      </c>
      <c r="I83" s="2">
        <f t="shared" si="1052"/>
        <v>43</v>
      </c>
      <c r="J83" s="3">
        <v>1.2847222222222223</v>
      </c>
      <c r="K83" s="2">
        <f t="shared" ref="K83:M83" si="1053">_xlfn.RANK.EQ(J83, J$7:J$375,0)</f>
        <v>9</v>
      </c>
      <c r="L83" s="2">
        <v>566</v>
      </c>
      <c r="M83" s="2">
        <f t="shared" si="1053"/>
        <v>77</v>
      </c>
      <c r="N83" s="2">
        <v>210</v>
      </c>
      <c r="O83" s="2">
        <f t="shared" ref="O83:Q83" si="1054">_xlfn.RANK.EQ(N83, N$7:N$375,0)</f>
        <v>77</v>
      </c>
      <c r="P83" s="2">
        <v>453</v>
      </c>
      <c r="Q83" s="2">
        <f t="shared" si="1054"/>
        <v>77</v>
      </c>
      <c r="R83" s="4">
        <v>0.46400000000000002</v>
      </c>
      <c r="S83" s="2">
        <f t="shared" ref="S83:U83" si="1055">_xlfn.RANK.EQ(R83, R$7:R$375,0)</f>
        <v>103</v>
      </c>
      <c r="T83" s="2">
        <v>125</v>
      </c>
      <c r="U83" s="2">
        <f t="shared" si="1055"/>
        <v>90</v>
      </c>
      <c r="V83" s="2">
        <v>223</v>
      </c>
      <c r="W83" s="2">
        <f t="shared" ref="W83:Y83" si="1056">_xlfn.RANK.EQ(V83, V$7:V$375,0)</f>
        <v>92</v>
      </c>
      <c r="X83" s="4">
        <v>0.56100000000000005</v>
      </c>
      <c r="Y83" s="2">
        <f t="shared" si="1056"/>
        <v>93</v>
      </c>
      <c r="Z83" s="2">
        <v>85</v>
      </c>
      <c r="AA83" s="2">
        <f t="shared" ref="AA83:AC83" si="1057">_xlfn.RANK.EQ(Z83, Z$7:Z$375,0)</f>
        <v>52</v>
      </c>
      <c r="AB83" s="2">
        <v>230</v>
      </c>
      <c r="AC83" s="2">
        <f t="shared" si="1057"/>
        <v>58</v>
      </c>
      <c r="AD83" s="4">
        <v>0.37</v>
      </c>
      <c r="AE83" s="2">
        <f t="shared" ref="AE83:AG83" si="1058">_xlfn.RANK.EQ(AD83, AD$7:AD$375,0)</f>
        <v>81</v>
      </c>
      <c r="AF83" s="2">
        <v>61</v>
      </c>
      <c r="AG83" s="2">
        <f t="shared" si="1058"/>
        <v>108</v>
      </c>
      <c r="AH83" s="2">
        <v>82</v>
      </c>
      <c r="AI83" s="2">
        <f t="shared" ref="AI83:AK83" si="1059">_xlfn.RANK.EQ(AH83, AH$7:AH$375,0)</f>
        <v>112</v>
      </c>
      <c r="AJ83" s="4">
        <v>0.74399999999999999</v>
      </c>
      <c r="AK83" s="2">
        <f t="shared" si="1059"/>
        <v>157</v>
      </c>
      <c r="AL83" s="2">
        <v>66</v>
      </c>
      <c r="AM83" s="2">
        <f t="shared" ref="AM83:AO83" si="1060">_xlfn.RANK.EQ(AL83, AL$7:AL$375,0)</f>
        <v>67</v>
      </c>
      <c r="AN83" s="2">
        <v>239</v>
      </c>
      <c r="AO83" s="2">
        <f t="shared" si="1060"/>
        <v>52</v>
      </c>
      <c r="AP83" s="2">
        <v>305</v>
      </c>
      <c r="AQ83" s="2">
        <f t="shared" ref="AQ83:AS83" si="1061">_xlfn.RANK.EQ(AP83, AP$7:AP$375,0)</f>
        <v>59</v>
      </c>
      <c r="AR83" s="2">
        <v>158</v>
      </c>
      <c r="AS83" s="2">
        <f t="shared" si="1061"/>
        <v>66</v>
      </c>
      <c r="AT83" s="2">
        <v>57</v>
      </c>
      <c r="AU83" s="2">
        <f t="shared" ref="AU83:AW83" si="1062">_xlfn.RANK.EQ(AT83, AT$7:AT$375,0)</f>
        <v>128</v>
      </c>
      <c r="AV83" s="2">
        <v>38</v>
      </c>
      <c r="AW83" s="2">
        <f t="shared" si="1062"/>
        <v>115</v>
      </c>
      <c r="AX83" s="2">
        <v>22</v>
      </c>
      <c r="AY83" s="2">
        <f t="shared" ref="AY83:BA83" si="1063">_xlfn.RANK.EQ(AX83, AX$7:AX$375,0)</f>
        <v>59</v>
      </c>
      <c r="AZ83" s="2">
        <v>14</v>
      </c>
      <c r="BA83" s="2">
        <f t="shared" si="1063"/>
        <v>104</v>
      </c>
      <c r="BB83" s="2">
        <v>68</v>
      </c>
      <c r="BC83" s="2">
        <f t="shared" ref="BC83:BE83" si="1064">_xlfn.RANK.EQ(BB83, BB$7:BB$375,0)</f>
        <v>222</v>
      </c>
      <c r="BD83" s="2">
        <v>79</v>
      </c>
      <c r="BE83" s="2">
        <f t="shared" si="1064"/>
        <v>136</v>
      </c>
      <c r="BF83" s="2">
        <v>764</v>
      </c>
      <c r="BG83" s="2">
        <f t="shared" ref="BG83:BI83" si="1065">_xlfn.RANK.EQ(BF83, BF$7:BF$375,0)</f>
        <v>67</v>
      </c>
      <c r="BH83" s="2">
        <v>64</v>
      </c>
      <c r="BI83" s="2">
        <f t="shared" si="1065"/>
        <v>94</v>
      </c>
    </row>
    <row r="84" spans="1:61" x14ac:dyDescent="0.55000000000000004">
      <c r="A84" s="2">
        <v>78</v>
      </c>
      <c r="B84" s="2" t="s">
        <v>134</v>
      </c>
      <c r="C84" s="2" t="s">
        <v>57</v>
      </c>
      <c r="D84" s="2">
        <v>42</v>
      </c>
      <c r="E84" s="2">
        <f t="shared" si="897"/>
        <v>239</v>
      </c>
      <c r="F84" s="2">
        <v>42</v>
      </c>
      <c r="G84" s="2">
        <f t="shared" ref="G84:I84" si="1066">_xlfn.RANK.EQ(F84, F$7:F$375,0)</f>
        <v>75</v>
      </c>
      <c r="H84" s="3">
        <v>44.488194444444446</v>
      </c>
      <c r="I84" s="2">
        <f t="shared" si="1066"/>
        <v>134</v>
      </c>
      <c r="J84" s="3">
        <v>1.0590277777777777</v>
      </c>
      <c r="K84" s="2">
        <f t="shared" ref="K84:M84" si="1067">_xlfn.RANK.EQ(J84, J$7:J$375,0)</f>
        <v>71</v>
      </c>
      <c r="L84" s="2">
        <v>556</v>
      </c>
      <c r="M84" s="2">
        <f t="shared" si="1067"/>
        <v>78</v>
      </c>
      <c r="N84" s="2">
        <v>233</v>
      </c>
      <c r="O84" s="2">
        <f t="shared" ref="O84:Q84" si="1068">_xlfn.RANK.EQ(N84, N$7:N$375,0)</f>
        <v>67</v>
      </c>
      <c r="P84" s="2">
        <v>420</v>
      </c>
      <c r="Q84" s="2">
        <f t="shared" si="1068"/>
        <v>90</v>
      </c>
      <c r="R84" s="4">
        <v>0.55500000000000005</v>
      </c>
      <c r="S84" s="2">
        <f t="shared" ref="S84:U84" si="1069">_xlfn.RANK.EQ(R84, R$7:R$375,0)</f>
        <v>36</v>
      </c>
      <c r="T84" s="2">
        <v>228</v>
      </c>
      <c r="U84" s="2">
        <f t="shared" si="1069"/>
        <v>37</v>
      </c>
      <c r="V84" s="2">
        <v>403</v>
      </c>
      <c r="W84" s="2">
        <f t="shared" ref="W84:Y84" si="1070">_xlfn.RANK.EQ(V84, V$7:V$375,0)</f>
        <v>34</v>
      </c>
      <c r="X84" s="4">
        <v>0.56599999999999995</v>
      </c>
      <c r="Y84" s="2">
        <f t="shared" si="1070"/>
        <v>86</v>
      </c>
      <c r="Z84" s="2">
        <v>5</v>
      </c>
      <c r="AA84" s="2">
        <f t="shared" ref="AA84:AC84" si="1071">_xlfn.RANK.EQ(Z84, Z$7:Z$375,0)</f>
        <v>280</v>
      </c>
      <c r="AB84" s="2">
        <v>17</v>
      </c>
      <c r="AC84" s="2">
        <f t="shared" si="1071"/>
        <v>291</v>
      </c>
      <c r="AD84" s="4">
        <v>0.29399999999999998</v>
      </c>
      <c r="AE84" s="2">
        <f t="shared" ref="AE84:AG84" si="1072">_xlfn.RANK.EQ(AD84, AD$7:AD$375,0)</f>
        <v>222</v>
      </c>
      <c r="AF84" s="2">
        <v>85</v>
      </c>
      <c r="AG84" s="2">
        <f t="shared" si="1072"/>
        <v>77</v>
      </c>
      <c r="AH84" s="2">
        <v>145</v>
      </c>
      <c r="AI84" s="2">
        <f t="shared" ref="AI84:AK84" si="1073">_xlfn.RANK.EQ(AH84, AH$7:AH$375,0)</f>
        <v>62</v>
      </c>
      <c r="AJ84" s="4">
        <v>0.58599999999999997</v>
      </c>
      <c r="AK84" s="2">
        <f t="shared" si="1073"/>
        <v>279</v>
      </c>
      <c r="AL84" s="2">
        <v>107</v>
      </c>
      <c r="AM84" s="2">
        <f t="shared" ref="AM84:AO84" si="1074">_xlfn.RANK.EQ(AL84, AL$7:AL$375,0)</f>
        <v>37</v>
      </c>
      <c r="AN84" s="2">
        <v>235</v>
      </c>
      <c r="AO84" s="2">
        <f t="shared" si="1074"/>
        <v>54</v>
      </c>
      <c r="AP84" s="2">
        <v>342</v>
      </c>
      <c r="AQ84" s="2">
        <f t="shared" ref="AQ84:AS84" si="1075">_xlfn.RANK.EQ(AP84, AP$7:AP$375,0)</f>
        <v>43</v>
      </c>
      <c r="AR84" s="2">
        <v>85</v>
      </c>
      <c r="AS84" s="2">
        <f t="shared" si="1075"/>
        <v>153</v>
      </c>
      <c r="AT84" s="2">
        <v>55</v>
      </c>
      <c r="AU84" s="2">
        <f t="shared" ref="AU84:AW84" si="1076">_xlfn.RANK.EQ(AT84, AT$7:AT$375,0)</f>
        <v>131</v>
      </c>
      <c r="AV84" s="2">
        <v>63</v>
      </c>
      <c r="AW84" s="2">
        <f t="shared" si="1076"/>
        <v>27</v>
      </c>
      <c r="AX84" s="2">
        <v>17</v>
      </c>
      <c r="AY84" s="2">
        <f t="shared" ref="AY84:BA84" si="1077">_xlfn.RANK.EQ(AX84, AX$7:AX$375,0)</f>
        <v>72</v>
      </c>
      <c r="AZ84" s="2">
        <v>21</v>
      </c>
      <c r="BA84" s="2">
        <f t="shared" si="1077"/>
        <v>41</v>
      </c>
      <c r="BB84" s="2">
        <v>101</v>
      </c>
      <c r="BC84" s="2">
        <f t="shared" ref="BC84:BE84" si="1078">_xlfn.RANK.EQ(BB84, BB$7:BB$375,0)</f>
        <v>133</v>
      </c>
      <c r="BD84" s="2">
        <v>145</v>
      </c>
      <c r="BE84" s="2">
        <f t="shared" si="1078"/>
        <v>76</v>
      </c>
      <c r="BF84" s="2">
        <v>782</v>
      </c>
      <c r="BG84" s="2">
        <f t="shared" ref="BG84:BI84" si="1079">_xlfn.RANK.EQ(BF84, BF$7:BF$375,0)</f>
        <v>64</v>
      </c>
      <c r="BH84" s="2">
        <v>-33</v>
      </c>
      <c r="BI84" s="2">
        <f t="shared" si="1079"/>
        <v>210</v>
      </c>
    </row>
    <row r="85" spans="1:61" x14ac:dyDescent="0.55000000000000004">
      <c r="A85" s="2">
        <v>79</v>
      </c>
      <c r="B85" s="2" t="s">
        <v>135</v>
      </c>
      <c r="C85" s="2" t="s">
        <v>42</v>
      </c>
      <c r="D85" s="2">
        <v>44</v>
      </c>
      <c r="E85" s="2">
        <f t="shared" si="897"/>
        <v>224</v>
      </c>
      <c r="F85" s="2">
        <v>19</v>
      </c>
      <c r="G85" s="2">
        <f t="shared" ref="G85:I85" si="1080">_xlfn.RANK.EQ(F85, F$7:F$375,0)</f>
        <v>155</v>
      </c>
      <c r="H85" s="3">
        <v>47.5</v>
      </c>
      <c r="I85" s="2">
        <f t="shared" si="1080"/>
        <v>120</v>
      </c>
      <c r="J85" s="3">
        <v>1.0791666666666666</v>
      </c>
      <c r="K85" s="2">
        <f t="shared" ref="K85:M85" si="1081">_xlfn.RANK.EQ(J85, J$7:J$375,0)</f>
        <v>67</v>
      </c>
      <c r="L85" s="2">
        <v>555</v>
      </c>
      <c r="M85" s="2">
        <f t="shared" si="1081"/>
        <v>79</v>
      </c>
      <c r="N85" s="2">
        <v>213</v>
      </c>
      <c r="O85" s="2">
        <f t="shared" ref="O85:Q85" si="1082">_xlfn.RANK.EQ(N85, N$7:N$375,0)</f>
        <v>76</v>
      </c>
      <c r="P85" s="2">
        <v>470</v>
      </c>
      <c r="Q85" s="2">
        <f t="shared" si="1082"/>
        <v>73</v>
      </c>
      <c r="R85" s="4">
        <v>0.45300000000000001</v>
      </c>
      <c r="S85" s="2">
        <f t="shared" ref="S85:U85" si="1083">_xlfn.RANK.EQ(R85, R$7:R$375,0)</f>
        <v>118</v>
      </c>
      <c r="T85" s="2">
        <v>134</v>
      </c>
      <c r="U85" s="2">
        <f t="shared" si="1083"/>
        <v>79</v>
      </c>
      <c r="V85" s="2">
        <v>244</v>
      </c>
      <c r="W85" s="2">
        <f t="shared" ref="W85:Y85" si="1084">_xlfn.RANK.EQ(V85, V$7:V$375,0)</f>
        <v>87</v>
      </c>
      <c r="X85" s="4">
        <v>0.54900000000000004</v>
      </c>
      <c r="Y85" s="2">
        <f t="shared" si="1084"/>
        <v>113</v>
      </c>
      <c r="Z85" s="2">
        <v>79</v>
      </c>
      <c r="AA85" s="2">
        <f t="shared" ref="AA85:AC85" si="1085">_xlfn.RANK.EQ(Z85, Z$7:Z$375,0)</f>
        <v>63</v>
      </c>
      <c r="AB85" s="2">
        <v>226</v>
      </c>
      <c r="AC85" s="2">
        <f t="shared" si="1085"/>
        <v>63</v>
      </c>
      <c r="AD85" s="4">
        <v>0.35</v>
      </c>
      <c r="AE85" s="2">
        <f t="shared" ref="AE85:AG85" si="1086">_xlfn.RANK.EQ(AD85, AD$7:AD$375,0)</f>
        <v>116</v>
      </c>
      <c r="AF85" s="2">
        <v>50</v>
      </c>
      <c r="AG85" s="2">
        <f t="shared" si="1086"/>
        <v>128</v>
      </c>
      <c r="AH85" s="2">
        <v>62</v>
      </c>
      <c r="AI85" s="2">
        <f t="shared" ref="AI85:AK85" si="1087">_xlfn.RANK.EQ(AH85, AH$7:AH$375,0)</f>
        <v>140</v>
      </c>
      <c r="AJ85" s="4">
        <v>0.80600000000000005</v>
      </c>
      <c r="AK85" s="2">
        <f t="shared" si="1087"/>
        <v>80</v>
      </c>
      <c r="AL85" s="2">
        <v>55</v>
      </c>
      <c r="AM85" s="2">
        <f t="shared" ref="AM85:AO85" si="1088">_xlfn.RANK.EQ(AL85, AL$7:AL$375,0)</f>
        <v>81</v>
      </c>
      <c r="AN85" s="2">
        <v>186</v>
      </c>
      <c r="AO85" s="2">
        <f t="shared" si="1088"/>
        <v>71</v>
      </c>
      <c r="AP85" s="2">
        <v>241</v>
      </c>
      <c r="AQ85" s="2">
        <f t="shared" ref="AQ85:AS85" si="1089">_xlfn.RANK.EQ(AP85, AP$7:AP$375,0)</f>
        <v>75</v>
      </c>
      <c r="AR85" s="2">
        <v>104</v>
      </c>
      <c r="AS85" s="2">
        <f t="shared" si="1089"/>
        <v>121</v>
      </c>
      <c r="AT85" s="2">
        <v>36</v>
      </c>
      <c r="AU85" s="2">
        <f t="shared" ref="AU85:AW85" si="1090">_xlfn.RANK.EQ(AT85, AT$7:AT$375,0)</f>
        <v>187</v>
      </c>
      <c r="AV85" s="2">
        <v>31</v>
      </c>
      <c r="AW85" s="2">
        <f t="shared" si="1090"/>
        <v>139</v>
      </c>
      <c r="AX85" s="2">
        <v>25</v>
      </c>
      <c r="AY85" s="2">
        <f t="shared" ref="AY85:BA85" si="1091">_xlfn.RANK.EQ(AX85, AX$7:AX$375,0)</f>
        <v>53</v>
      </c>
      <c r="AZ85" s="2">
        <v>6</v>
      </c>
      <c r="BA85" s="2">
        <f t="shared" si="1091"/>
        <v>214</v>
      </c>
      <c r="BB85" s="2">
        <v>80</v>
      </c>
      <c r="BC85" s="2">
        <f t="shared" ref="BC85:BE85" si="1092">_xlfn.RANK.EQ(BB85, BB$7:BB$375,0)</f>
        <v>193</v>
      </c>
      <c r="BD85" s="2">
        <v>81</v>
      </c>
      <c r="BE85" s="2">
        <f t="shared" si="1092"/>
        <v>133</v>
      </c>
      <c r="BF85" s="2">
        <v>646</v>
      </c>
      <c r="BG85" s="2">
        <f t="shared" ref="BG85:BI85" si="1093">_xlfn.RANK.EQ(BF85, BF$7:BF$375,0)</f>
        <v>77</v>
      </c>
      <c r="BH85" s="2">
        <v>140</v>
      </c>
      <c r="BI85" s="2">
        <f t="shared" si="1093"/>
        <v>70</v>
      </c>
    </row>
    <row r="86" spans="1:61" x14ac:dyDescent="0.55000000000000004">
      <c r="A86" s="2">
        <v>80</v>
      </c>
      <c r="B86" s="2" t="s">
        <v>136</v>
      </c>
      <c r="C86" s="2" t="s">
        <v>86</v>
      </c>
      <c r="D86" s="2">
        <v>60</v>
      </c>
      <c r="E86" s="2">
        <f t="shared" si="897"/>
        <v>1</v>
      </c>
      <c r="F86" s="2">
        <v>52</v>
      </c>
      <c r="G86" s="2">
        <f t="shared" ref="G86:I86" si="1094">_xlfn.RANK.EQ(F86, F$7:F$375,0)</f>
        <v>41</v>
      </c>
      <c r="H86" s="3">
        <v>59.622916666666669</v>
      </c>
      <c r="I86" s="2">
        <f t="shared" si="1094"/>
        <v>55</v>
      </c>
      <c r="J86" s="5">
        <v>0.99305555555555558</v>
      </c>
      <c r="K86" s="2">
        <f t="shared" ref="K86:M86" si="1095">_xlfn.RANK.EQ(J86, J$7:J$375,0)</f>
        <v>96</v>
      </c>
      <c r="L86" s="2">
        <v>552</v>
      </c>
      <c r="M86" s="2">
        <f t="shared" si="1095"/>
        <v>80</v>
      </c>
      <c r="N86" s="2">
        <v>194</v>
      </c>
      <c r="O86" s="2">
        <f t="shared" ref="O86:Q86" si="1096">_xlfn.RANK.EQ(N86, N$7:N$375,0)</f>
        <v>82</v>
      </c>
      <c r="P86" s="2">
        <v>553</v>
      </c>
      <c r="Q86" s="2">
        <f t="shared" si="1096"/>
        <v>54</v>
      </c>
      <c r="R86" s="4">
        <v>0.35099999999999998</v>
      </c>
      <c r="S86" s="2">
        <f t="shared" ref="S86:U86" si="1097">_xlfn.RANK.EQ(R86, R$7:R$375,0)</f>
        <v>277</v>
      </c>
      <c r="T86" s="2">
        <v>77</v>
      </c>
      <c r="U86" s="2">
        <f t="shared" si="1097"/>
        <v>125</v>
      </c>
      <c r="V86" s="2">
        <v>193</v>
      </c>
      <c r="W86" s="2">
        <f t="shared" ref="W86:Y86" si="1098">_xlfn.RANK.EQ(V86, V$7:V$375,0)</f>
        <v>108</v>
      </c>
      <c r="X86" s="4">
        <v>0.39900000000000002</v>
      </c>
      <c r="Y86" s="2">
        <f t="shared" si="1098"/>
        <v>300</v>
      </c>
      <c r="Z86" s="2">
        <v>117</v>
      </c>
      <c r="AA86" s="2">
        <f t="shared" ref="AA86:AC86" si="1099">_xlfn.RANK.EQ(Z86, Z$7:Z$375,0)</f>
        <v>19</v>
      </c>
      <c r="AB86" s="2">
        <v>360</v>
      </c>
      <c r="AC86" s="2">
        <f t="shared" si="1099"/>
        <v>10</v>
      </c>
      <c r="AD86" s="4">
        <v>0.32500000000000001</v>
      </c>
      <c r="AE86" s="2">
        <f t="shared" ref="AE86:AG86" si="1100">_xlfn.RANK.EQ(AD86, AD$7:AD$375,0)</f>
        <v>172</v>
      </c>
      <c r="AF86" s="2">
        <v>47</v>
      </c>
      <c r="AG86" s="2">
        <f t="shared" si="1100"/>
        <v>134</v>
      </c>
      <c r="AH86" s="2">
        <v>64</v>
      </c>
      <c r="AI86" s="2">
        <f t="shared" ref="AI86:AK86" si="1101">_xlfn.RANK.EQ(AH86, AH$7:AH$375,0)</f>
        <v>137</v>
      </c>
      <c r="AJ86" s="4">
        <v>0.73399999999999999</v>
      </c>
      <c r="AK86" s="2">
        <f t="shared" si="1101"/>
        <v>168</v>
      </c>
      <c r="AL86" s="2">
        <v>17</v>
      </c>
      <c r="AM86" s="2">
        <f t="shared" ref="AM86:AO86" si="1102">_xlfn.RANK.EQ(AL86, AL$7:AL$375,0)</f>
        <v>226</v>
      </c>
      <c r="AN86" s="2">
        <v>38</v>
      </c>
      <c r="AO86" s="2">
        <f t="shared" si="1102"/>
        <v>231</v>
      </c>
      <c r="AP86" s="2">
        <v>55</v>
      </c>
      <c r="AQ86" s="2">
        <f t="shared" ref="AQ86:AS86" si="1103">_xlfn.RANK.EQ(AP86, AP$7:AP$375,0)</f>
        <v>234</v>
      </c>
      <c r="AR86" s="2">
        <v>103</v>
      </c>
      <c r="AS86" s="2">
        <f t="shared" si="1103"/>
        <v>124</v>
      </c>
      <c r="AT86" s="2">
        <v>66</v>
      </c>
      <c r="AU86" s="2">
        <f t="shared" ref="AU86:AW86" si="1104">_xlfn.RANK.EQ(AT86, AT$7:AT$375,0)</f>
        <v>106</v>
      </c>
      <c r="AV86" s="2">
        <v>40</v>
      </c>
      <c r="AW86" s="2">
        <f t="shared" si="1104"/>
        <v>104</v>
      </c>
      <c r="AX86" s="2">
        <v>1</v>
      </c>
      <c r="AY86" s="2">
        <f t="shared" ref="AY86:BA86" si="1105">_xlfn.RANK.EQ(AX86, AX$7:AX$375,0)</f>
        <v>265</v>
      </c>
      <c r="AZ86" s="2">
        <v>16</v>
      </c>
      <c r="BA86" s="2">
        <f t="shared" si="1105"/>
        <v>80</v>
      </c>
      <c r="BB86" s="2">
        <v>78</v>
      </c>
      <c r="BC86" s="2">
        <f t="shared" ref="BC86:BE86" si="1106">_xlfn.RANK.EQ(BB86, BB$7:BB$375,0)</f>
        <v>196</v>
      </c>
      <c r="BD86" s="2">
        <v>86</v>
      </c>
      <c r="BE86" s="2">
        <f t="shared" si="1106"/>
        <v>125</v>
      </c>
      <c r="BF86" s="2">
        <v>301</v>
      </c>
      <c r="BG86" s="2">
        <f t="shared" ref="BG86:BI86" si="1107">_xlfn.RANK.EQ(BF86, BF$7:BF$375,0)</f>
        <v>143</v>
      </c>
      <c r="BH86" s="2">
        <v>-267</v>
      </c>
      <c r="BI86" s="2">
        <f t="shared" si="1107"/>
        <v>356</v>
      </c>
    </row>
    <row r="87" spans="1:61" x14ac:dyDescent="0.55000000000000004">
      <c r="A87" s="2">
        <v>81</v>
      </c>
      <c r="B87" s="2" t="s">
        <v>137</v>
      </c>
      <c r="C87" s="2" t="s">
        <v>52</v>
      </c>
      <c r="D87" s="2">
        <v>60</v>
      </c>
      <c r="E87" s="2">
        <f t="shared" si="897"/>
        <v>1</v>
      </c>
      <c r="F87" s="2">
        <v>51</v>
      </c>
      <c r="G87" s="2">
        <f t="shared" ref="G87:I87" si="1108">_xlfn.RANK.EQ(F87, F$7:F$375,0)</f>
        <v>46</v>
      </c>
      <c r="H87" s="3">
        <v>57.94166666666667</v>
      </c>
      <c r="I87" s="2">
        <f t="shared" si="1108"/>
        <v>70</v>
      </c>
      <c r="J87" s="5">
        <v>0.96527777777777779</v>
      </c>
      <c r="K87" s="2">
        <f t="shared" ref="K87:M87" si="1109">_xlfn.RANK.EQ(J87, J$7:J$375,0)</f>
        <v>102</v>
      </c>
      <c r="L87" s="2">
        <v>538</v>
      </c>
      <c r="M87" s="2">
        <f t="shared" si="1109"/>
        <v>81</v>
      </c>
      <c r="N87" s="2">
        <v>193</v>
      </c>
      <c r="O87" s="2">
        <f t="shared" ref="O87:Q87" si="1110">_xlfn.RANK.EQ(N87, N$7:N$375,0)</f>
        <v>83</v>
      </c>
      <c r="P87" s="2">
        <v>557</v>
      </c>
      <c r="Q87" s="2">
        <f t="shared" si="1110"/>
        <v>49</v>
      </c>
      <c r="R87" s="4">
        <v>0.34599999999999997</v>
      </c>
      <c r="S87" s="2">
        <f t="shared" ref="S87:U87" si="1111">_xlfn.RANK.EQ(R87, R$7:R$375,0)</f>
        <v>284</v>
      </c>
      <c r="T87" s="2">
        <v>87</v>
      </c>
      <c r="U87" s="2">
        <f t="shared" si="1111"/>
        <v>117</v>
      </c>
      <c r="V87" s="2">
        <v>205</v>
      </c>
      <c r="W87" s="2">
        <f t="shared" ref="W87:Y87" si="1112">_xlfn.RANK.EQ(V87, V$7:V$375,0)</f>
        <v>101</v>
      </c>
      <c r="X87" s="4">
        <v>0.42399999999999999</v>
      </c>
      <c r="Y87" s="2">
        <f t="shared" si="1112"/>
        <v>275</v>
      </c>
      <c r="Z87" s="2">
        <v>106</v>
      </c>
      <c r="AA87" s="2">
        <f t="shared" ref="AA87:AC87" si="1113">_xlfn.RANK.EQ(Z87, Z$7:Z$375,0)</f>
        <v>28</v>
      </c>
      <c r="AB87" s="2">
        <v>352</v>
      </c>
      <c r="AC87" s="2">
        <f t="shared" si="1113"/>
        <v>13</v>
      </c>
      <c r="AD87" s="4">
        <v>0.30099999999999999</v>
      </c>
      <c r="AE87" s="2">
        <f t="shared" ref="AE87:AG87" si="1114">_xlfn.RANK.EQ(AD87, AD$7:AD$375,0)</f>
        <v>209</v>
      </c>
      <c r="AF87" s="2">
        <v>46</v>
      </c>
      <c r="AG87" s="2">
        <f t="shared" si="1114"/>
        <v>135</v>
      </c>
      <c r="AH87" s="2">
        <v>65</v>
      </c>
      <c r="AI87" s="2">
        <f t="shared" ref="AI87:AK87" si="1115">_xlfn.RANK.EQ(AH87, AH$7:AH$375,0)</f>
        <v>135</v>
      </c>
      <c r="AJ87" s="4">
        <v>0.70799999999999996</v>
      </c>
      <c r="AK87" s="2">
        <f t="shared" si="1115"/>
        <v>198</v>
      </c>
      <c r="AL87" s="2">
        <v>53</v>
      </c>
      <c r="AM87" s="2">
        <f t="shared" ref="AM87:AO87" si="1116">_xlfn.RANK.EQ(AL87, AL$7:AL$375,0)</f>
        <v>85</v>
      </c>
      <c r="AN87" s="2">
        <v>97</v>
      </c>
      <c r="AO87" s="2">
        <f t="shared" si="1116"/>
        <v>113</v>
      </c>
      <c r="AP87" s="2">
        <v>150</v>
      </c>
      <c r="AQ87" s="2">
        <f t="shared" ref="AQ87:AS87" si="1117">_xlfn.RANK.EQ(AP87, AP$7:AP$375,0)</f>
        <v>98</v>
      </c>
      <c r="AR87" s="2">
        <v>144</v>
      </c>
      <c r="AS87" s="2">
        <f t="shared" si="1117"/>
        <v>77</v>
      </c>
      <c r="AT87" s="2">
        <v>65</v>
      </c>
      <c r="AU87" s="2">
        <f t="shared" ref="AU87:AW87" si="1118">_xlfn.RANK.EQ(AT87, AT$7:AT$375,0)</f>
        <v>110</v>
      </c>
      <c r="AV87" s="2">
        <v>45</v>
      </c>
      <c r="AW87" s="2">
        <f t="shared" si="1118"/>
        <v>85</v>
      </c>
      <c r="AX87" s="2">
        <v>11</v>
      </c>
      <c r="AY87" s="2">
        <f t="shared" ref="AY87:BA87" si="1119">_xlfn.RANK.EQ(AX87, AX$7:AX$375,0)</f>
        <v>97</v>
      </c>
      <c r="AZ87" s="2">
        <v>10</v>
      </c>
      <c r="BA87" s="2">
        <f t="shared" si="1119"/>
        <v>144</v>
      </c>
      <c r="BB87" s="2">
        <v>97</v>
      </c>
      <c r="BC87" s="2">
        <f t="shared" ref="BC87:BE87" si="1120">_xlfn.RANK.EQ(BB87, BB$7:BB$375,0)</f>
        <v>147</v>
      </c>
      <c r="BD87" s="2">
        <v>81</v>
      </c>
      <c r="BE87" s="2">
        <f t="shared" si="1120"/>
        <v>133</v>
      </c>
      <c r="BF87" s="2">
        <v>414</v>
      </c>
      <c r="BG87" s="2">
        <f t="shared" ref="BG87:BI87" si="1121">_xlfn.RANK.EQ(BF87, BF$7:BF$375,0)</f>
        <v>119</v>
      </c>
      <c r="BH87" s="2">
        <v>299</v>
      </c>
      <c r="BI87" s="2">
        <f t="shared" si="1121"/>
        <v>27</v>
      </c>
    </row>
    <row r="88" spans="1:61" x14ac:dyDescent="0.55000000000000004">
      <c r="A88" s="2">
        <v>82</v>
      </c>
      <c r="B88" s="2" t="s">
        <v>138</v>
      </c>
      <c r="C88" s="2" t="s">
        <v>36</v>
      </c>
      <c r="D88" s="2">
        <v>49</v>
      </c>
      <c r="E88" s="2">
        <f t="shared" si="897"/>
        <v>194</v>
      </c>
      <c r="F88" s="2">
        <v>14</v>
      </c>
      <c r="G88" s="2">
        <f t="shared" ref="G88:I88" si="1122">_xlfn.RANK.EQ(F88, F$7:F$375,0)</f>
        <v>182</v>
      </c>
      <c r="H88" s="3">
        <v>45.34236111111111</v>
      </c>
      <c r="I88" s="2">
        <f t="shared" si="1122"/>
        <v>129</v>
      </c>
      <c r="J88" s="5">
        <v>0.92500000000000004</v>
      </c>
      <c r="K88" s="2">
        <f t="shared" ref="K88:M88" si="1123">_xlfn.RANK.EQ(J88, J$7:J$375,0)</f>
        <v>119</v>
      </c>
      <c r="L88" s="2">
        <v>533</v>
      </c>
      <c r="M88" s="2">
        <f t="shared" si="1123"/>
        <v>82</v>
      </c>
      <c r="N88" s="2">
        <v>208</v>
      </c>
      <c r="O88" s="2">
        <f t="shared" ref="O88:Q88" si="1124">_xlfn.RANK.EQ(N88, N$7:N$375,0)</f>
        <v>79</v>
      </c>
      <c r="P88" s="2">
        <v>353</v>
      </c>
      <c r="Q88" s="2">
        <f t="shared" si="1124"/>
        <v>110</v>
      </c>
      <c r="R88" s="4">
        <v>0.58899999999999997</v>
      </c>
      <c r="S88" s="2">
        <f t="shared" ref="S88:U88" si="1125">_xlfn.RANK.EQ(R88, R$7:R$375,0)</f>
        <v>21</v>
      </c>
      <c r="T88" s="2">
        <v>208</v>
      </c>
      <c r="U88" s="2">
        <f t="shared" si="1125"/>
        <v>43</v>
      </c>
      <c r="V88" s="2">
        <v>353</v>
      </c>
      <c r="W88" s="2">
        <f t="shared" ref="W88:Y88" si="1126">_xlfn.RANK.EQ(V88, V$7:V$375,0)</f>
        <v>50</v>
      </c>
      <c r="X88" s="4">
        <v>0.58899999999999997</v>
      </c>
      <c r="Y88" s="2">
        <f t="shared" si="1126"/>
        <v>62</v>
      </c>
      <c r="Z88" s="2">
        <v>0</v>
      </c>
      <c r="AA88" s="2">
        <f t="shared" ref="AA88:AC88" si="1127">_xlfn.RANK.EQ(Z88, Z$7:Z$375,0)</f>
        <v>329</v>
      </c>
      <c r="AB88" s="2">
        <v>0</v>
      </c>
      <c r="AC88" s="2">
        <f t="shared" si="1127"/>
        <v>360</v>
      </c>
      <c r="AD88" s="4">
        <v>0</v>
      </c>
      <c r="AE88" s="2">
        <f t="shared" ref="AE88:AG88" si="1128">_xlfn.RANK.EQ(AD88, AD$7:AD$375,0)</f>
        <v>329</v>
      </c>
      <c r="AF88" s="2">
        <v>117</v>
      </c>
      <c r="AG88" s="2">
        <f t="shared" si="1128"/>
        <v>58</v>
      </c>
      <c r="AH88" s="2">
        <v>169</v>
      </c>
      <c r="AI88" s="2">
        <f t="shared" ref="AI88:AK88" si="1129">_xlfn.RANK.EQ(AH88, AH$7:AH$375,0)</f>
        <v>54</v>
      </c>
      <c r="AJ88" s="4">
        <v>0.69199999999999995</v>
      </c>
      <c r="AK88" s="2">
        <f t="shared" si="1129"/>
        <v>209</v>
      </c>
      <c r="AL88" s="2">
        <v>165</v>
      </c>
      <c r="AM88" s="2">
        <f t="shared" ref="AM88:AO88" si="1130">_xlfn.RANK.EQ(AL88, AL$7:AL$375,0)</f>
        <v>11</v>
      </c>
      <c r="AN88" s="2">
        <v>252</v>
      </c>
      <c r="AO88" s="2">
        <f t="shared" si="1130"/>
        <v>42</v>
      </c>
      <c r="AP88" s="2">
        <v>417</v>
      </c>
      <c r="AQ88" s="2">
        <f t="shared" ref="AQ88:AS88" si="1131">_xlfn.RANK.EQ(AP88, AP$7:AP$375,0)</f>
        <v>21</v>
      </c>
      <c r="AR88" s="2">
        <v>113</v>
      </c>
      <c r="AS88" s="2">
        <f t="shared" si="1131"/>
        <v>107</v>
      </c>
      <c r="AT88" s="2">
        <v>63</v>
      </c>
      <c r="AU88" s="2">
        <f t="shared" ref="AU88:AW88" si="1132">_xlfn.RANK.EQ(AT88, AT$7:AT$375,0)</f>
        <v>116</v>
      </c>
      <c r="AV88" s="2">
        <v>39</v>
      </c>
      <c r="AW88" s="2">
        <f t="shared" si="1132"/>
        <v>111</v>
      </c>
      <c r="AX88" s="2">
        <v>27</v>
      </c>
      <c r="AY88" s="2">
        <f t="shared" ref="AY88:BA88" si="1133">_xlfn.RANK.EQ(AX88, AX$7:AX$375,0)</f>
        <v>46</v>
      </c>
      <c r="AZ88" s="2">
        <v>27</v>
      </c>
      <c r="BA88" s="2">
        <f t="shared" si="1133"/>
        <v>21</v>
      </c>
      <c r="BB88" s="2">
        <v>107</v>
      </c>
      <c r="BC88" s="2">
        <f t="shared" ref="BC88:BE88" si="1134">_xlfn.RANK.EQ(BB88, BB$7:BB$375,0)</f>
        <v>116</v>
      </c>
      <c r="BD88" s="2">
        <v>147</v>
      </c>
      <c r="BE88" s="2">
        <f t="shared" si="1134"/>
        <v>73</v>
      </c>
      <c r="BF88" s="2">
        <v>882</v>
      </c>
      <c r="BG88" s="2">
        <f t="shared" ref="BG88:BI88" si="1135">_xlfn.RANK.EQ(BF88, BF$7:BF$375,0)</f>
        <v>58</v>
      </c>
      <c r="BH88" s="2">
        <v>121</v>
      </c>
      <c r="BI88" s="2">
        <f t="shared" si="1135"/>
        <v>78</v>
      </c>
    </row>
    <row r="89" spans="1:61" x14ac:dyDescent="0.55000000000000004">
      <c r="A89" s="2">
        <v>83</v>
      </c>
      <c r="B89" s="2" t="s">
        <v>139</v>
      </c>
      <c r="C89" s="2" t="s">
        <v>113</v>
      </c>
      <c r="D89" s="2">
        <v>60</v>
      </c>
      <c r="E89" s="2">
        <f t="shared" si="897"/>
        <v>1</v>
      </c>
      <c r="F89" s="2">
        <v>41</v>
      </c>
      <c r="G89" s="2">
        <f t="shared" ref="G89:I89" si="1136">_xlfn.RANK.EQ(F89, F$7:F$375,0)</f>
        <v>80</v>
      </c>
      <c r="H89" s="3">
        <v>54.981250000000003</v>
      </c>
      <c r="I89" s="2">
        <f t="shared" si="1136"/>
        <v>84</v>
      </c>
      <c r="J89" s="5">
        <v>0.91597222222222219</v>
      </c>
      <c r="K89" s="2">
        <f t="shared" ref="K89:M89" si="1137">_xlfn.RANK.EQ(J89, J$7:J$375,0)</f>
        <v>124</v>
      </c>
      <c r="L89" s="2">
        <v>531</v>
      </c>
      <c r="M89" s="2">
        <f t="shared" si="1137"/>
        <v>83</v>
      </c>
      <c r="N89" s="2">
        <v>192</v>
      </c>
      <c r="O89" s="2">
        <f t="shared" ref="O89:Q89" si="1138">_xlfn.RANK.EQ(N89, N$7:N$375,0)</f>
        <v>84</v>
      </c>
      <c r="P89" s="2">
        <v>556</v>
      </c>
      <c r="Q89" s="2">
        <f t="shared" si="1138"/>
        <v>50</v>
      </c>
      <c r="R89" s="4">
        <v>0.34499999999999997</v>
      </c>
      <c r="S89" s="2">
        <f t="shared" ref="S89:U89" si="1139">_xlfn.RANK.EQ(R89, R$7:R$375,0)</f>
        <v>286</v>
      </c>
      <c r="T89" s="2">
        <v>102</v>
      </c>
      <c r="U89" s="2">
        <f t="shared" si="1139"/>
        <v>104</v>
      </c>
      <c r="V89" s="2">
        <v>268</v>
      </c>
      <c r="W89" s="2">
        <f t="shared" ref="W89:Y89" si="1140">_xlfn.RANK.EQ(V89, V$7:V$375,0)</f>
        <v>78</v>
      </c>
      <c r="X89" s="4">
        <v>0.38100000000000001</v>
      </c>
      <c r="Y89" s="2">
        <f t="shared" si="1140"/>
        <v>309</v>
      </c>
      <c r="Z89" s="2">
        <v>90</v>
      </c>
      <c r="AA89" s="2">
        <f t="shared" ref="AA89:AC89" si="1141">_xlfn.RANK.EQ(Z89, Z$7:Z$375,0)</f>
        <v>47</v>
      </c>
      <c r="AB89" s="2">
        <v>288</v>
      </c>
      <c r="AC89" s="2">
        <f t="shared" si="1141"/>
        <v>34</v>
      </c>
      <c r="AD89" s="4">
        <v>0.313</v>
      </c>
      <c r="AE89" s="2">
        <f t="shared" ref="AE89:AG89" si="1142">_xlfn.RANK.EQ(AD89, AD$7:AD$375,0)</f>
        <v>195</v>
      </c>
      <c r="AF89" s="2">
        <v>57</v>
      </c>
      <c r="AG89" s="2">
        <f t="shared" si="1142"/>
        <v>113</v>
      </c>
      <c r="AH89" s="2">
        <v>74</v>
      </c>
      <c r="AI89" s="2">
        <f t="shared" ref="AI89:AK89" si="1143">_xlfn.RANK.EQ(AH89, AH$7:AH$375,0)</f>
        <v>121</v>
      </c>
      <c r="AJ89" s="4">
        <v>0.77</v>
      </c>
      <c r="AK89" s="2">
        <f t="shared" si="1143"/>
        <v>121</v>
      </c>
      <c r="AL89" s="2">
        <v>20</v>
      </c>
      <c r="AM89" s="2">
        <f t="shared" ref="AM89:AO89" si="1144">_xlfn.RANK.EQ(AL89, AL$7:AL$375,0)</f>
        <v>198</v>
      </c>
      <c r="AN89" s="2">
        <v>85</v>
      </c>
      <c r="AO89" s="2">
        <f t="shared" si="1144"/>
        <v>131</v>
      </c>
      <c r="AP89" s="2">
        <v>105</v>
      </c>
      <c r="AQ89" s="2">
        <f t="shared" ref="AQ89:AS89" si="1145">_xlfn.RANK.EQ(AP89, AP$7:AP$375,0)</f>
        <v>155</v>
      </c>
      <c r="AR89" s="2">
        <v>208</v>
      </c>
      <c r="AS89" s="2">
        <f t="shared" si="1145"/>
        <v>31</v>
      </c>
      <c r="AT89" s="2">
        <v>135</v>
      </c>
      <c r="AU89" s="2">
        <f t="shared" ref="AU89:AW89" si="1146">_xlfn.RANK.EQ(AT89, AT$7:AT$375,0)</f>
        <v>10</v>
      </c>
      <c r="AV89" s="2">
        <v>54</v>
      </c>
      <c r="AW89" s="2">
        <f t="shared" si="1146"/>
        <v>46</v>
      </c>
      <c r="AX89" s="2">
        <v>7</v>
      </c>
      <c r="AY89" s="2">
        <f t="shared" ref="AY89:BA89" si="1147">_xlfn.RANK.EQ(AX89, AX$7:AX$375,0)</f>
        <v>138</v>
      </c>
      <c r="AZ89" s="2">
        <v>13</v>
      </c>
      <c r="BA89" s="2">
        <f t="shared" si="1147"/>
        <v>114</v>
      </c>
      <c r="BB89" s="2">
        <v>111</v>
      </c>
      <c r="BC89" s="2">
        <f t="shared" ref="BC89:BE89" si="1148">_xlfn.RANK.EQ(BB89, BB$7:BB$375,0)</f>
        <v>107</v>
      </c>
      <c r="BD89" s="2">
        <v>123</v>
      </c>
      <c r="BE89" s="2">
        <f t="shared" si="1148"/>
        <v>93</v>
      </c>
      <c r="BF89" s="2">
        <v>388</v>
      </c>
      <c r="BG89" s="2">
        <f t="shared" ref="BG89:BI89" si="1149">_xlfn.RANK.EQ(BF89, BF$7:BF$375,0)</f>
        <v>127</v>
      </c>
      <c r="BH89" s="2">
        <v>-157</v>
      </c>
      <c r="BI89" s="2">
        <f t="shared" si="1149"/>
        <v>322</v>
      </c>
    </row>
    <row r="90" spans="1:61" x14ac:dyDescent="0.55000000000000004">
      <c r="A90" s="2">
        <v>84</v>
      </c>
      <c r="B90" s="2" t="s">
        <v>140</v>
      </c>
      <c r="C90" s="2" t="s">
        <v>44</v>
      </c>
      <c r="D90" s="2">
        <v>59</v>
      </c>
      <c r="E90" s="2">
        <f t="shared" si="897"/>
        <v>58</v>
      </c>
      <c r="F90" s="2">
        <v>44</v>
      </c>
      <c r="G90" s="2">
        <f t="shared" ref="G90:I90" si="1150">_xlfn.RANK.EQ(F90, F$7:F$375,0)</f>
        <v>67</v>
      </c>
      <c r="H90" s="3">
        <v>53.820833333333333</v>
      </c>
      <c r="I90" s="2">
        <f t="shared" si="1150"/>
        <v>95</v>
      </c>
      <c r="J90" s="5">
        <v>0.91180555555555554</v>
      </c>
      <c r="K90" s="2">
        <f t="shared" ref="K90:M90" si="1151">_xlfn.RANK.EQ(J90, J$7:J$375,0)</f>
        <v>126</v>
      </c>
      <c r="L90" s="2">
        <v>518</v>
      </c>
      <c r="M90" s="2">
        <f t="shared" si="1151"/>
        <v>84</v>
      </c>
      <c r="N90" s="2">
        <v>220</v>
      </c>
      <c r="O90" s="2">
        <f t="shared" ref="O90:Q90" si="1152">_xlfn.RANK.EQ(N90, N$7:N$375,0)</f>
        <v>71</v>
      </c>
      <c r="P90" s="2">
        <v>391</v>
      </c>
      <c r="Q90" s="2">
        <f t="shared" si="1152"/>
        <v>98</v>
      </c>
      <c r="R90" s="4">
        <v>0.56299999999999994</v>
      </c>
      <c r="S90" s="2">
        <f t="shared" ref="S90:U90" si="1153">_xlfn.RANK.EQ(R90, R$7:R$375,0)</f>
        <v>32</v>
      </c>
      <c r="T90" s="2">
        <v>220</v>
      </c>
      <c r="U90" s="2">
        <f t="shared" si="1153"/>
        <v>40</v>
      </c>
      <c r="V90" s="2">
        <v>390</v>
      </c>
      <c r="W90" s="2">
        <f t="shared" ref="W90:Y90" si="1154">_xlfn.RANK.EQ(V90, V$7:V$375,0)</f>
        <v>39</v>
      </c>
      <c r="X90" s="4">
        <v>0.56399999999999995</v>
      </c>
      <c r="Y90" s="2">
        <f t="shared" si="1154"/>
        <v>88</v>
      </c>
      <c r="Z90" s="2">
        <v>0</v>
      </c>
      <c r="AA90" s="2">
        <f t="shared" ref="AA90:AC90" si="1155">_xlfn.RANK.EQ(Z90, Z$7:Z$375,0)</f>
        <v>329</v>
      </c>
      <c r="AB90" s="2">
        <v>1</v>
      </c>
      <c r="AC90" s="2">
        <f t="shared" si="1155"/>
        <v>342</v>
      </c>
      <c r="AD90" s="4">
        <v>0</v>
      </c>
      <c r="AE90" s="2">
        <f t="shared" ref="AE90:AG90" si="1156">_xlfn.RANK.EQ(AD90, AD$7:AD$375,0)</f>
        <v>329</v>
      </c>
      <c r="AF90" s="2">
        <v>78</v>
      </c>
      <c r="AG90" s="2">
        <f t="shared" si="1156"/>
        <v>92</v>
      </c>
      <c r="AH90" s="2">
        <v>149</v>
      </c>
      <c r="AI90" s="2">
        <f t="shared" ref="AI90:AK90" si="1157">_xlfn.RANK.EQ(AH90, AH$7:AH$375,0)</f>
        <v>61</v>
      </c>
      <c r="AJ90" s="4">
        <v>0.52300000000000002</v>
      </c>
      <c r="AK90" s="2">
        <f t="shared" si="1157"/>
        <v>303</v>
      </c>
      <c r="AL90" s="2">
        <v>185</v>
      </c>
      <c r="AM90" s="2">
        <f t="shared" ref="AM90:AO90" si="1158">_xlfn.RANK.EQ(AL90, AL$7:AL$375,0)</f>
        <v>4</v>
      </c>
      <c r="AN90" s="2">
        <v>174</v>
      </c>
      <c r="AO90" s="2">
        <f t="shared" si="1158"/>
        <v>73</v>
      </c>
      <c r="AP90" s="2">
        <v>359</v>
      </c>
      <c r="AQ90" s="2">
        <f t="shared" ref="AQ90:AS90" si="1159">_xlfn.RANK.EQ(AP90, AP$7:AP$375,0)</f>
        <v>39</v>
      </c>
      <c r="AR90" s="2">
        <v>34</v>
      </c>
      <c r="AS90" s="2">
        <f t="shared" si="1159"/>
        <v>244</v>
      </c>
      <c r="AT90" s="2">
        <v>82</v>
      </c>
      <c r="AU90" s="2">
        <f t="shared" ref="AU90:AW90" si="1160">_xlfn.RANK.EQ(AT90, AT$7:AT$375,0)</f>
        <v>76</v>
      </c>
      <c r="AV90" s="2">
        <v>37</v>
      </c>
      <c r="AW90" s="2">
        <f t="shared" si="1160"/>
        <v>120</v>
      </c>
      <c r="AX90" s="2">
        <v>27</v>
      </c>
      <c r="AY90" s="2">
        <f t="shared" ref="AY90:BA90" si="1161">_xlfn.RANK.EQ(AX90, AX$7:AX$375,0)</f>
        <v>46</v>
      </c>
      <c r="AZ90" s="2">
        <v>35</v>
      </c>
      <c r="BA90" s="2">
        <f t="shared" si="1161"/>
        <v>9</v>
      </c>
      <c r="BB90" s="2">
        <v>185</v>
      </c>
      <c r="BC90" s="2">
        <f t="shared" ref="BC90:BE90" si="1162">_xlfn.RANK.EQ(BB90, BB$7:BB$375,0)</f>
        <v>1</v>
      </c>
      <c r="BD90" s="2">
        <v>137</v>
      </c>
      <c r="BE90" s="2">
        <f t="shared" si="1162"/>
        <v>79</v>
      </c>
      <c r="BF90" s="2">
        <v>563</v>
      </c>
      <c r="BG90" s="2">
        <f t="shared" ref="BG90:BI90" si="1163">_xlfn.RANK.EQ(BF90, BF$7:BF$375,0)</f>
        <v>93</v>
      </c>
      <c r="BH90" s="2">
        <v>-54</v>
      </c>
      <c r="BI90" s="2">
        <f t="shared" si="1163"/>
        <v>237</v>
      </c>
    </row>
    <row r="91" spans="1:61" x14ac:dyDescent="0.55000000000000004">
      <c r="A91" s="2">
        <v>85</v>
      </c>
      <c r="B91" s="2" t="s">
        <v>141</v>
      </c>
      <c r="C91" s="2" t="s">
        <v>79</v>
      </c>
      <c r="D91" s="2">
        <v>58</v>
      </c>
      <c r="E91" s="2">
        <f t="shared" si="897"/>
        <v>78</v>
      </c>
      <c r="F91" s="2">
        <v>56</v>
      </c>
      <c r="G91" s="2">
        <f t="shared" ref="G91:I91" si="1164">_xlfn.RANK.EQ(F91, F$7:F$375,0)</f>
        <v>29</v>
      </c>
      <c r="H91" s="3">
        <v>71.136805555555554</v>
      </c>
      <c r="I91" s="2">
        <f t="shared" si="1164"/>
        <v>16</v>
      </c>
      <c r="J91" s="3">
        <v>1.226388888888889</v>
      </c>
      <c r="K91" s="2">
        <f t="shared" ref="K91:M91" si="1165">_xlfn.RANK.EQ(J91, J$7:J$375,0)</f>
        <v>21</v>
      </c>
      <c r="L91" s="2">
        <v>513</v>
      </c>
      <c r="M91" s="2">
        <f t="shared" si="1165"/>
        <v>85</v>
      </c>
      <c r="N91" s="2">
        <v>169</v>
      </c>
      <c r="O91" s="2">
        <f t="shared" ref="O91:Q91" si="1166">_xlfn.RANK.EQ(N91, N$7:N$375,0)</f>
        <v>97</v>
      </c>
      <c r="P91" s="2">
        <v>486</v>
      </c>
      <c r="Q91" s="2">
        <f t="shared" si="1166"/>
        <v>69</v>
      </c>
      <c r="R91" s="4">
        <v>0.34799999999999998</v>
      </c>
      <c r="S91" s="2">
        <f t="shared" ref="S91:U91" si="1167">_xlfn.RANK.EQ(R91, R$7:R$375,0)</f>
        <v>281</v>
      </c>
      <c r="T91" s="2">
        <v>79</v>
      </c>
      <c r="U91" s="2">
        <f t="shared" si="1167"/>
        <v>121</v>
      </c>
      <c r="V91" s="2">
        <v>181</v>
      </c>
      <c r="W91" s="2">
        <f t="shared" ref="W91:Y91" si="1168">_xlfn.RANK.EQ(V91, V$7:V$375,0)</f>
        <v>114</v>
      </c>
      <c r="X91" s="4">
        <v>0.436</v>
      </c>
      <c r="Y91" s="2">
        <f t="shared" si="1168"/>
        <v>262</v>
      </c>
      <c r="Z91" s="2">
        <v>90</v>
      </c>
      <c r="AA91" s="2">
        <f t="shared" ref="AA91:AC91" si="1169">_xlfn.RANK.EQ(Z91, Z$7:Z$375,0)</f>
        <v>47</v>
      </c>
      <c r="AB91" s="2">
        <v>305</v>
      </c>
      <c r="AC91" s="2">
        <f t="shared" si="1169"/>
        <v>28</v>
      </c>
      <c r="AD91" s="4">
        <v>0.29499999999999998</v>
      </c>
      <c r="AE91" s="2">
        <f t="shared" ref="AE91:AG91" si="1170">_xlfn.RANK.EQ(AD91, AD$7:AD$375,0)</f>
        <v>219</v>
      </c>
      <c r="AF91" s="2">
        <v>85</v>
      </c>
      <c r="AG91" s="2">
        <f t="shared" si="1170"/>
        <v>77</v>
      </c>
      <c r="AH91" s="2">
        <v>110</v>
      </c>
      <c r="AI91" s="2">
        <f t="shared" ref="AI91:AK91" si="1171">_xlfn.RANK.EQ(AH91, AH$7:AH$375,0)</f>
        <v>90</v>
      </c>
      <c r="AJ91" s="4">
        <v>0.77300000000000002</v>
      </c>
      <c r="AK91" s="2">
        <f t="shared" si="1171"/>
        <v>119</v>
      </c>
      <c r="AL91" s="2">
        <v>86</v>
      </c>
      <c r="AM91" s="2">
        <f t="shared" ref="AM91:AO91" si="1172">_xlfn.RANK.EQ(AL91, AL$7:AL$375,0)</f>
        <v>48</v>
      </c>
      <c r="AN91" s="2">
        <v>170</v>
      </c>
      <c r="AO91" s="2">
        <f t="shared" si="1172"/>
        <v>75</v>
      </c>
      <c r="AP91" s="2">
        <v>256</v>
      </c>
      <c r="AQ91" s="2">
        <f t="shared" ref="AQ91:AS91" si="1173">_xlfn.RANK.EQ(AP91, AP$7:AP$375,0)</f>
        <v>73</v>
      </c>
      <c r="AR91" s="2">
        <v>195</v>
      </c>
      <c r="AS91" s="2">
        <f t="shared" si="1173"/>
        <v>37</v>
      </c>
      <c r="AT91" s="2">
        <v>96</v>
      </c>
      <c r="AU91" s="2">
        <f t="shared" ref="AU91:AW91" si="1174">_xlfn.RANK.EQ(AT91, AT$7:AT$375,0)</f>
        <v>53</v>
      </c>
      <c r="AV91" s="2">
        <v>72</v>
      </c>
      <c r="AW91" s="2">
        <f t="shared" si="1174"/>
        <v>18</v>
      </c>
      <c r="AX91" s="2">
        <v>9</v>
      </c>
      <c r="AY91" s="2">
        <f t="shared" ref="AY91:BA91" si="1175">_xlfn.RANK.EQ(AX91, AX$7:AX$375,0)</f>
        <v>110</v>
      </c>
      <c r="AZ91" s="2">
        <v>15</v>
      </c>
      <c r="BA91" s="2">
        <f t="shared" si="1175"/>
        <v>87</v>
      </c>
      <c r="BB91" s="2">
        <v>124</v>
      </c>
      <c r="BC91" s="2">
        <f t="shared" ref="BC91:BE91" si="1176">_xlfn.RANK.EQ(BB91, BB$7:BB$375,0)</f>
        <v>68</v>
      </c>
      <c r="BD91" s="2">
        <v>124</v>
      </c>
      <c r="BE91" s="2">
        <f t="shared" si="1176"/>
        <v>90</v>
      </c>
      <c r="BF91" s="2">
        <v>592</v>
      </c>
      <c r="BG91" s="2">
        <f t="shared" ref="BG91:BI91" si="1177">_xlfn.RANK.EQ(BF91, BF$7:BF$375,0)</f>
        <v>91</v>
      </c>
      <c r="BH91" s="2">
        <v>-562</v>
      </c>
      <c r="BI91" s="2">
        <f t="shared" si="1177"/>
        <v>369</v>
      </c>
    </row>
    <row r="92" spans="1:61" x14ac:dyDescent="0.55000000000000004">
      <c r="A92" s="2">
        <v>86</v>
      </c>
      <c r="B92" s="2" t="s">
        <v>142</v>
      </c>
      <c r="C92" s="2" t="s">
        <v>67</v>
      </c>
      <c r="D92" s="2">
        <v>60</v>
      </c>
      <c r="E92" s="2">
        <f t="shared" si="897"/>
        <v>1</v>
      </c>
      <c r="F92" s="2">
        <v>37</v>
      </c>
      <c r="G92" s="2">
        <f t="shared" ref="G92:I92" si="1178">_xlfn.RANK.EQ(F92, F$7:F$375,0)</f>
        <v>94</v>
      </c>
      <c r="H92" s="3">
        <v>56.923611111111114</v>
      </c>
      <c r="I92" s="2">
        <f t="shared" si="1178"/>
        <v>74</v>
      </c>
      <c r="J92" s="5">
        <v>0.94861111111111107</v>
      </c>
      <c r="K92" s="2">
        <f t="shared" ref="K92:M92" si="1179">_xlfn.RANK.EQ(J92, J$7:J$375,0)</f>
        <v>108</v>
      </c>
      <c r="L92" s="2">
        <v>512</v>
      </c>
      <c r="M92" s="2">
        <f t="shared" si="1179"/>
        <v>86</v>
      </c>
      <c r="N92" s="2">
        <v>153</v>
      </c>
      <c r="O92" s="2">
        <f t="shared" ref="O92:Q92" si="1180">_xlfn.RANK.EQ(N92, N$7:N$375,0)</f>
        <v>108</v>
      </c>
      <c r="P92" s="2">
        <v>431</v>
      </c>
      <c r="Q92" s="2">
        <f t="shared" si="1180"/>
        <v>84</v>
      </c>
      <c r="R92" s="4">
        <v>0.35499999999999998</v>
      </c>
      <c r="S92" s="2">
        <f t="shared" ref="S92:U92" si="1181">_xlfn.RANK.EQ(R92, R$7:R$375,0)</f>
        <v>271</v>
      </c>
      <c r="T92" s="2">
        <v>40</v>
      </c>
      <c r="U92" s="2">
        <f t="shared" si="1181"/>
        <v>196</v>
      </c>
      <c r="V92" s="2">
        <v>88</v>
      </c>
      <c r="W92" s="2">
        <f t="shared" ref="W92:Y92" si="1182">_xlfn.RANK.EQ(V92, V$7:V$375,0)</f>
        <v>189</v>
      </c>
      <c r="X92" s="4">
        <v>0.45500000000000002</v>
      </c>
      <c r="Y92" s="2">
        <f t="shared" si="1182"/>
        <v>237</v>
      </c>
      <c r="Z92" s="2">
        <v>113</v>
      </c>
      <c r="AA92" s="2">
        <f t="shared" ref="AA92:AC92" si="1183">_xlfn.RANK.EQ(Z92, Z$7:Z$375,0)</f>
        <v>23</v>
      </c>
      <c r="AB92" s="2">
        <v>343</v>
      </c>
      <c r="AC92" s="2">
        <f t="shared" si="1183"/>
        <v>17</v>
      </c>
      <c r="AD92" s="4">
        <v>0.32900000000000001</v>
      </c>
      <c r="AE92" s="2">
        <f t="shared" ref="AE92:AG92" si="1184">_xlfn.RANK.EQ(AD92, AD$7:AD$375,0)</f>
        <v>163</v>
      </c>
      <c r="AF92" s="2">
        <v>93</v>
      </c>
      <c r="AG92" s="2">
        <f t="shared" si="1184"/>
        <v>73</v>
      </c>
      <c r="AH92" s="2">
        <v>113</v>
      </c>
      <c r="AI92" s="2">
        <f t="shared" ref="AI92:AK92" si="1185">_xlfn.RANK.EQ(AH92, AH$7:AH$375,0)</f>
        <v>86</v>
      </c>
      <c r="AJ92" s="4">
        <v>0.82299999999999995</v>
      </c>
      <c r="AK92" s="2">
        <f t="shared" si="1185"/>
        <v>62</v>
      </c>
      <c r="AL92" s="2">
        <v>31</v>
      </c>
      <c r="AM92" s="2">
        <f t="shared" ref="AM92:AO92" si="1186">_xlfn.RANK.EQ(AL92, AL$7:AL$375,0)</f>
        <v>143</v>
      </c>
      <c r="AN92" s="2">
        <v>68</v>
      </c>
      <c r="AO92" s="2">
        <f t="shared" si="1186"/>
        <v>165</v>
      </c>
      <c r="AP92" s="2">
        <v>99</v>
      </c>
      <c r="AQ92" s="2">
        <f t="shared" ref="AQ92:AS92" si="1187">_xlfn.RANK.EQ(AP92, AP$7:AP$375,0)</f>
        <v>164</v>
      </c>
      <c r="AR92" s="2">
        <v>159</v>
      </c>
      <c r="AS92" s="2">
        <f t="shared" si="1187"/>
        <v>65</v>
      </c>
      <c r="AT92" s="2">
        <v>76</v>
      </c>
      <c r="AU92" s="2">
        <f t="shared" ref="AU92:AW92" si="1188">_xlfn.RANK.EQ(AT92, AT$7:AT$375,0)</f>
        <v>88</v>
      </c>
      <c r="AV92" s="2">
        <v>48</v>
      </c>
      <c r="AW92" s="2">
        <f t="shared" si="1188"/>
        <v>67</v>
      </c>
      <c r="AX92" s="2">
        <v>2</v>
      </c>
      <c r="AY92" s="2">
        <f t="shared" ref="AY92:BA92" si="1189">_xlfn.RANK.EQ(AX92, AX$7:AX$375,0)</f>
        <v>234</v>
      </c>
      <c r="AZ92" s="2">
        <v>8</v>
      </c>
      <c r="BA92" s="2">
        <f t="shared" si="1189"/>
        <v>181</v>
      </c>
      <c r="BB92" s="2">
        <v>153</v>
      </c>
      <c r="BC92" s="2">
        <f t="shared" ref="BC92:BE92" si="1190">_xlfn.RANK.EQ(BB92, BB$7:BB$375,0)</f>
        <v>15</v>
      </c>
      <c r="BD92" s="2">
        <v>182</v>
      </c>
      <c r="BE92" s="2">
        <f t="shared" si="1190"/>
        <v>53</v>
      </c>
      <c r="BF92" s="2">
        <v>467</v>
      </c>
      <c r="BG92" s="2">
        <f t="shared" ref="BG92:BI92" si="1191">_xlfn.RANK.EQ(BF92, BF$7:BF$375,0)</f>
        <v>108</v>
      </c>
      <c r="BH92" s="2">
        <v>324</v>
      </c>
      <c r="BI92" s="2">
        <f t="shared" si="1191"/>
        <v>20</v>
      </c>
    </row>
    <row r="93" spans="1:61" x14ac:dyDescent="0.55000000000000004">
      <c r="A93" s="2">
        <v>87</v>
      </c>
      <c r="B93" s="2" t="s">
        <v>143</v>
      </c>
      <c r="C93" s="2" t="s">
        <v>67</v>
      </c>
      <c r="D93" s="2">
        <v>37</v>
      </c>
      <c r="E93" s="2">
        <f t="shared" si="897"/>
        <v>256</v>
      </c>
      <c r="F93" s="2">
        <v>29</v>
      </c>
      <c r="G93" s="2">
        <f t="shared" ref="G93:I93" si="1192">_xlfn.RANK.EQ(F93, F$7:F$375,0)</f>
        <v>120</v>
      </c>
      <c r="H93" s="3">
        <v>38.507638888888891</v>
      </c>
      <c r="I93" s="2">
        <f t="shared" si="1192"/>
        <v>157</v>
      </c>
      <c r="J93" s="3">
        <v>1.0402777777777779</v>
      </c>
      <c r="K93" s="2">
        <f t="shared" ref="K93:M93" si="1193">_xlfn.RANK.EQ(J93, J$7:J$375,0)</f>
        <v>78</v>
      </c>
      <c r="L93" s="2">
        <v>504</v>
      </c>
      <c r="M93" s="2">
        <f t="shared" si="1193"/>
        <v>87</v>
      </c>
      <c r="N93" s="2">
        <v>174</v>
      </c>
      <c r="O93" s="2">
        <f t="shared" ref="O93:Q93" si="1194">_xlfn.RANK.EQ(N93, N$7:N$375,0)</f>
        <v>93</v>
      </c>
      <c r="P93" s="2">
        <v>373</v>
      </c>
      <c r="Q93" s="2">
        <f t="shared" si="1194"/>
        <v>103</v>
      </c>
      <c r="R93" s="4">
        <v>0.46600000000000003</v>
      </c>
      <c r="S93" s="2">
        <f t="shared" ref="S93:U93" si="1195">_xlfn.RANK.EQ(R93, R$7:R$375,0)</f>
        <v>96</v>
      </c>
      <c r="T93" s="2">
        <v>100</v>
      </c>
      <c r="U93" s="2">
        <f t="shared" si="1195"/>
        <v>107</v>
      </c>
      <c r="V93" s="2">
        <v>198</v>
      </c>
      <c r="W93" s="2">
        <f t="shared" ref="W93:Y93" si="1196">_xlfn.RANK.EQ(V93, V$7:V$375,0)</f>
        <v>106</v>
      </c>
      <c r="X93" s="4">
        <v>0.505</v>
      </c>
      <c r="Y93" s="2">
        <f t="shared" si="1196"/>
        <v>172</v>
      </c>
      <c r="Z93" s="2">
        <v>74</v>
      </c>
      <c r="AA93" s="2">
        <f t="shared" ref="AA93:AC93" si="1197">_xlfn.RANK.EQ(Z93, Z$7:Z$375,0)</f>
        <v>68</v>
      </c>
      <c r="AB93" s="2">
        <v>175</v>
      </c>
      <c r="AC93" s="2">
        <f t="shared" si="1197"/>
        <v>102</v>
      </c>
      <c r="AD93" s="4">
        <v>0.42299999999999999</v>
      </c>
      <c r="AE93" s="2">
        <f t="shared" ref="AE93:AG93" si="1198">_xlfn.RANK.EQ(AD93, AD$7:AD$375,0)</f>
        <v>27</v>
      </c>
      <c r="AF93" s="2">
        <v>82</v>
      </c>
      <c r="AG93" s="2">
        <f t="shared" si="1198"/>
        <v>82</v>
      </c>
      <c r="AH93" s="2">
        <v>98</v>
      </c>
      <c r="AI93" s="2">
        <f t="shared" ref="AI93:AK93" si="1199">_xlfn.RANK.EQ(AH93, AH$7:AH$375,0)</f>
        <v>95</v>
      </c>
      <c r="AJ93" s="4">
        <v>0.83699999999999997</v>
      </c>
      <c r="AK93" s="2">
        <f t="shared" si="1199"/>
        <v>45</v>
      </c>
      <c r="AL93" s="2">
        <v>24</v>
      </c>
      <c r="AM93" s="2">
        <f t="shared" ref="AM93:AO93" si="1200">_xlfn.RANK.EQ(AL93, AL$7:AL$375,0)</f>
        <v>182</v>
      </c>
      <c r="AN93" s="2">
        <v>123</v>
      </c>
      <c r="AO93" s="2">
        <f t="shared" si="1200"/>
        <v>93</v>
      </c>
      <c r="AP93" s="2">
        <v>147</v>
      </c>
      <c r="AQ93" s="2">
        <f t="shared" ref="AQ93:AS93" si="1201">_xlfn.RANK.EQ(AP93, AP$7:AP$375,0)</f>
        <v>102</v>
      </c>
      <c r="AR93" s="2">
        <v>144</v>
      </c>
      <c r="AS93" s="2">
        <f t="shared" si="1201"/>
        <v>77</v>
      </c>
      <c r="AT93" s="2">
        <v>66</v>
      </c>
      <c r="AU93" s="2">
        <f t="shared" ref="AU93:AW93" si="1202">_xlfn.RANK.EQ(AT93, AT$7:AT$375,0)</f>
        <v>106</v>
      </c>
      <c r="AV93" s="2">
        <v>36</v>
      </c>
      <c r="AW93" s="2">
        <f t="shared" si="1202"/>
        <v>124</v>
      </c>
      <c r="AX93" s="2">
        <v>12</v>
      </c>
      <c r="AY93" s="2">
        <f t="shared" ref="AY93:BA93" si="1203">_xlfn.RANK.EQ(AX93, AX$7:AX$375,0)</f>
        <v>88</v>
      </c>
      <c r="AZ93" s="2">
        <v>9</v>
      </c>
      <c r="BA93" s="2">
        <f t="shared" si="1203"/>
        <v>160</v>
      </c>
      <c r="BB93" s="2">
        <v>77</v>
      </c>
      <c r="BC93" s="2">
        <f t="shared" ref="BC93:BE93" si="1204">_xlfn.RANK.EQ(BB93, BB$7:BB$375,0)</f>
        <v>200</v>
      </c>
      <c r="BD93" s="2">
        <v>127</v>
      </c>
      <c r="BE93" s="2">
        <f t="shared" si="1204"/>
        <v>88</v>
      </c>
      <c r="BF93" s="2">
        <v>603</v>
      </c>
      <c r="BG93" s="2">
        <f t="shared" ref="BG93:BI93" si="1205">_xlfn.RANK.EQ(BF93, BF$7:BF$375,0)</f>
        <v>90</v>
      </c>
      <c r="BH93" s="2">
        <v>271</v>
      </c>
      <c r="BI93" s="2">
        <f t="shared" si="1205"/>
        <v>33</v>
      </c>
    </row>
    <row r="94" spans="1:61" x14ac:dyDescent="0.55000000000000004">
      <c r="A94" s="2">
        <v>88</v>
      </c>
      <c r="B94" s="2" t="s">
        <v>144</v>
      </c>
      <c r="C94" s="2" t="s">
        <v>67</v>
      </c>
      <c r="D94" s="2">
        <v>53</v>
      </c>
      <c r="E94" s="2">
        <f t="shared" si="897"/>
        <v>166</v>
      </c>
      <c r="F94" s="2">
        <v>42</v>
      </c>
      <c r="G94" s="2">
        <f t="shared" ref="G94:I94" si="1206">_xlfn.RANK.EQ(F94, F$7:F$375,0)</f>
        <v>75</v>
      </c>
      <c r="H94" s="3">
        <v>51.06527777777778</v>
      </c>
      <c r="I94" s="2">
        <f t="shared" si="1206"/>
        <v>106</v>
      </c>
      <c r="J94" s="5">
        <v>0.96319444444444446</v>
      </c>
      <c r="K94" s="2">
        <f t="shared" ref="K94:M94" si="1207">_xlfn.RANK.EQ(J94, J$7:J$375,0)</f>
        <v>103</v>
      </c>
      <c r="L94" s="2">
        <v>501</v>
      </c>
      <c r="M94" s="2">
        <f t="shared" si="1207"/>
        <v>88</v>
      </c>
      <c r="N94" s="2">
        <v>198</v>
      </c>
      <c r="O94" s="2">
        <f t="shared" ref="O94:Q94" si="1208">_xlfn.RANK.EQ(N94, N$7:N$375,0)</f>
        <v>81</v>
      </c>
      <c r="P94" s="2">
        <v>446</v>
      </c>
      <c r="Q94" s="2">
        <f t="shared" si="1208"/>
        <v>80</v>
      </c>
      <c r="R94" s="4">
        <v>0.44400000000000001</v>
      </c>
      <c r="S94" s="2">
        <f t="shared" ref="S94:U94" si="1209">_xlfn.RANK.EQ(R94, R$7:R$375,0)</f>
        <v>128</v>
      </c>
      <c r="T94" s="2">
        <v>152</v>
      </c>
      <c r="U94" s="2">
        <f t="shared" si="1209"/>
        <v>70</v>
      </c>
      <c r="V94" s="2">
        <v>290</v>
      </c>
      <c r="W94" s="2">
        <f t="shared" ref="W94:Y94" si="1210">_xlfn.RANK.EQ(V94, V$7:V$375,0)</f>
        <v>68</v>
      </c>
      <c r="X94" s="4">
        <v>0.52400000000000002</v>
      </c>
      <c r="Y94" s="2">
        <f t="shared" si="1210"/>
        <v>148</v>
      </c>
      <c r="Z94" s="2">
        <v>46</v>
      </c>
      <c r="AA94" s="2">
        <f t="shared" ref="AA94:AC94" si="1211">_xlfn.RANK.EQ(Z94, Z$7:Z$375,0)</f>
        <v>131</v>
      </c>
      <c r="AB94" s="2">
        <v>156</v>
      </c>
      <c r="AC94" s="2">
        <f t="shared" si="1211"/>
        <v>117</v>
      </c>
      <c r="AD94" s="4">
        <v>0.29499999999999998</v>
      </c>
      <c r="AE94" s="2">
        <f t="shared" ref="AE94:AG94" si="1212">_xlfn.RANK.EQ(AD94, AD$7:AD$375,0)</f>
        <v>219</v>
      </c>
      <c r="AF94" s="2">
        <v>59</v>
      </c>
      <c r="AG94" s="2">
        <f t="shared" si="1212"/>
        <v>110</v>
      </c>
      <c r="AH94" s="2">
        <v>82</v>
      </c>
      <c r="AI94" s="2">
        <f t="shared" ref="AI94:AK94" si="1213">_xlfn.RANK.EQ(AH94, AH$7:AH$375,0)</f>
        <v>112</v>
      </c>
      <c r="AJ94" s="4">
        <v>0.72</v>
      </c>
      <c r="AK94" s="2">
        <f t="shared" si="1213"/>
        <v>186</v>
      </c>
      <c r="AL94" s="2">
        <v>25</v>
      </c>
      <c r="AM94" s="2">
        <f t="shared" ref="AM94:AO94" si="1214">_xlfn.RANK.EQ(AL94, AL$7:AL$375,0)</f>
        <v>173</v>
      </c>
      <c r="AN94" s="2">
        <v>63</v>
      </c>
      <c r="AO94" s="2">
        <f t="shared" si="1214"/>
        <v>173</v>
      </c>
      <c r="AP94" s="2">
        <v>88</v>
      </c>
      <c r="AQ94" s="2">
        <f t="shared" ref="AQ94:AS94" si="1215">_xlfn.RANK.EQ(AP94, AP$7:AP$375,0)</f>
        <v>176</v>
      </c>
      <c r="AR94" s="2">
        <v>158</v>
      </c>
      <c r="AS94" s="2">
        <f t="shared" si="1215"/>
        <v>66</v>
      </c>
      <c r="AT94" s="2">
        <v>83</v>
      </c>
      <c r="AU94" s="2">
        <f t="shared" ref="AU94:AW94" si="1216">_xlfn.RANK.EQ(AT94, AT$7:AT$375,0)</f>
        <v>74</v>
      </c>
      <c r="AV94" s="2">
        <v>71</v>
      </c>
      <c r="AW94" s="2">
        <f t="shared" si="1216"/>
        <v>19</v>
      </c>
      <c r="AX94" s="2">
        <v>9</v>
      </c>
      <c r="AY94" s="2">
        <f t="shared" ref="AY94:BA94" si="1217">_xlfn.RANK.EQ(AX94, AX$7:AX$375,0)</f>
        <v>110</v>
      </c>
      <c r="AZ94" s="2">
        <v>22</v>
      </c>
      <c r="BA94" s="2">
        <f t="shared" si="1217"/>
        <v>38</v>
      </c>
      <c r="BB94" s="2">
        <v>101</v>
      </c>
      <c r="BC94" s="2">
        <f t="shared" ref="BC94:BE94" si="1218">_xlfn.RANK.EQ(BB94, BB$7:BB$375,0)</f>
        <v>133</v>
      </c>
      <c r="BD94" s="2">
        <v>93</v>
      </c>
      <c r="BE94" s="2">
        <f t="shared" si="1218"/>
        <v>119</v>
      </c>
      <c r="BF94" s="2">
        <v>443</v>
      </c>
      <c r="BG94" s="2">
        <f t="shared" ref="BG94:BI94" si="1219">_xlfn.RANK.EQ(BF94, BF$7:BF$375,0)</f>
        <v>111</v>
      </c>
      <c r="BH94" s="2">
        <v>306</v>
      </c>
      <c r="BI94" s="2">
        <f t="shared" si="1219"/>
        <v>26</v>
      </c>
    </row>
    <row r="95" spans="1:61" x14ac:dyDescent="0.55000000000000004">
      <c r="A95" s="2">
        <v>89</v>
      </c>
      <c r="B95" s="2" t="s">
        <v>145</v>
      </c>
      <c r="C95" s="2" t="s">
        <v>113</v>
      </c>
      <c r="D95" s="2">
        <v>56</v>
      </c>
      <c r="E95" s="2">
        <f t="shared" si="897"/>
        <v>124</v>
      </c>
      <c r="F95" s="2">
        <v>27</v>
      </c>
      <c r="G95" s="2">
        <f t="shared" ref="G95:I95" si="1220">_xlfn.RANK.EQ(F95, F$7:F$375,0)</f>
        <v>127</v>
      </c>
      <c r="H95" s="3">
        <v>59.255555555555553</v>
      </c>
      <c r="I95" s="2">
        <f t="shared" si="1220"/>
        <v>62</v>
      </c>
      <c r="J95" s="3">
        <v>1.0576388888888888</v>
      </c>
      <c r="K95" s="2">
        <f t="shared" ref="K95:M95" si="1221">_xlfn.RANK.EQ(J95, J$7:J$375,0)</f>
        <v>72</v>
      </c>
      <c r="L95" s="2">
        <v>498</v>
      </c>
      <c r="M95" s="2">
        <f t="shared" si="1221"/>
        <v>89</v>
      </c>
      <c r="N95" s="2">
        <v>184</v>
      </c>
      <c r="O95" s="2">
        <f t="shared" ref="O95:Q95" si="1222">_xlfn.RANK.EQ(N95, N$7:N$375,0)</f>
        <v>89</v>
      </c>
      <c r="P95" s="2">
        <v>418</v>
      </c>
      <c r="Q95" s="2">
        <f t="shared" si="1222"/>
        <v>92</v>
      </c>
      <c r="R95" s="4">
        <v>0.44</v>
      </c>
      <c r="S95" s="2">
        <f t="shared" ref="S95:U95" si="1223">_xlfn.RANK.EQ(R95, R$7:R$375,0)</f>
        <v>132</v>
      </c>
      <c r="T95" s="2">
        <v>91</v>
      </c>
      <c r="U95" s="2">
        <f t="shared" si="1223"/>
        <v>114</v>
      </c>
      <c r="V95" s="2">
        <v>155</v>
      </c>
      <c r="W95" s="2">
        <f t="shared" ref="W95:Y95" si="1224">_xlfn.RANK.EQ(V95, V$7:V$375,0)</f>
        <v>129</v>
      </c>
      <c r="X95" s="4">
        <v>0.58699999999999997</v>
      </c>
      <c r="Y95" s="2">
        <f t="shared" si="1224"/>
        <v>65</v>
      </c>
      <c r="Z95" s="2">
        <v>93</v>
      </c>
      <c r="AA95" s="2">
        <f t="shared" ref="AA95:AC95" si="1225">_xlfn.RANK.EQ(Z95, Z$7:Z$375,0)</f>
        <v>43</v>
      </c>
      <c r="AB95" s="2">
        <v>263</v>
      </c>
      <c r="AC95" s="2">
        <f t="shared" si="1225"/>
        <v>39</v>
      </c>
      <c r="AD95" s="4">
        <v>0.35399999999999998</v>
      </c>
      <c r="AE95" s="2">
        <f t="shared" ref="AE95:AG95" si="1226">_xlfn.RANK.EQ(AD95, AD$7:AD$375,0)</f>
        <v>109</v>
      </c>
      <c r="AF95" s="2">
        <v>37</v>
      </c>
      <c r="AG95" s="2">
        <f t="shared" si="1226"/>
        <v>150</v>
      </c>
      <c r="AH95" s="2">
        <v>87</v>
      </c>
      <c r="AI95" s="2">
        <f t="shared" ref="AI95:AK95" si="1227">_xlfn.RANK.EQ(AH95, AH$7:AH$375,0)</f>
        <v>106</v>
      </c>
      <c r="AJ95" s="4">
        <v>0.42499999999999999</v>
      </c>
      <c r="AK95" s="2">
        <f t="shared" si="1227"/>
        <v>338</v>
      </c>
      <c r="AL95" s="2">
        <v>89</v>
      </c>
      <c r="AM95" s="2">
        <f t="shared" ref="AM95:AO95" si="1228">_xlfn.RANK.EQ(AL95, AL$7:AL$375,0)</f>
        <v>44</v>
      </c>
      <c r="AN95" s="2">
        <v>262</v>
      </c>
      <c r="AO95" s="2">
        <f t="shared" si="1228"/>
        <v>33</v>
      </c>
      <c r="AP95" s="2">
        <v>351</v>
      </c>
      <c r="AQ95" s="2">
        <f t="shared" ref="AQ95:AS95" si="1229">_xlfn.RANK.EQ(AP95, AP$7:AP$375,0)</f>
        <v>41</v>
      </c>
      <c r="AR95" s="2">
        <v>87</v>
      </c>
      <c r="AS95" s="2">
        <f t="shared" si="1229"/>
        <v>150</v>
      </c>
      <c r="AT95" s="2">
        <v>65</v>
      </c>
      <c r="AU95" s="2">
        <f t="shared" ref="AU95:AW95" si="1230">_xlfn.RANK.EQ(AT95, AT$7:AT$375,0)</f>
        <v>110</v>
      </c>
      <c r="AV95" s="2">
        <v>39</v>
      </c>
      <c r="AW95" s="2">
        <f t="shared" si="1230"/>
        <v>111</v>
      </c>
      <c r="AX95" s="2">
        <v>61</v>
      </c>
      <c r="AY95" s="2">
        <f t="shared" ref="AY95:BA95" si="1231">_xlfn.RANK.EQ(AX95, AX$7:AX$375,0)</f>
        <v>4</v>
      </c>
      <c r="AZ95" s="2">
        <v>17</v>
      </c>
      <c r="BA95" s="2">
        <f t="shared" si="1231"/>
        <v>66</v>
      </c>
      <c r="BB95" s="2">
        <v>101</v>
      </c>
      <c r="BC95" s="2">
        <f t="shared" ref="BC95:BE95" si="1232">_xlfn.RANK.EQ(BB95, BB$7:BB$375,0)</f>
        <v>133</v>
      </c>
      <c r="BD95" s="2">
        <v>97</v>
      </c>
      <c r="BE95" s="2">
        <f t="shared" si="1232"/>
        <v>116</v>
      </c>
      <c r="BF95" s="2">
        <v>666</v>
      </c>
      <c r="BG95" s="2">
        <f t="shared" ref="BG95:BI95" si="1233">_xlfn.RANK.EQ(BF95, BF$7:BF$375,0)</f>
        <v>74</v>
      </c>
      <c r="BH95" s="2">
        <v>-254</v>
      </c>
      <c r="BI95" s="2">
        <f t="shared" si="1233"/>
        <v>353</v>
      </c>
    </row>
    <row r="96" spans="1:61" x14ac:dyDescent="0.55000000000000004">
      <c r="A96" s="2">
        <v>90</v>
      </c>
      <c r="B96" s="2" t="s">
        <v>146</v>
      </c>
      <c r="C96" s="2" t="s">
        <v>52</v>
      </c>
      <c r="D96" s="2">
        <v>55</v>
      </c>
      <c r="E96" s="2">
        <f t="shared" si="897"/>
        <v>139</v>
      </c>
      <c r="F96" s="2">
        <v>5</v>
      </c>
      <c r="G96" s="2">
        <f t="shared" ref="G96:I96" si="1234">_xlfn.RANK.EQ(F96, F$7:F$375,0)</f>
        <v>238</v>
      </c>
      <c r="H96" s="3">
        <v>40.152777777777779</v>
      </c>
      <c r="I96" s="2">
        <f t="shared" si="1234"/>
        <v>148</v>
      </c>
      <c r="J96" s="5">
        <v>0.72986111111111107</v>
      </c>
      <c r="K96" s="2">
        <f t="shared" ref="K96:M96" si="1235">_xlfn.RANK.EQ(J96, J$7:J$375,0)</f>
        <v>183</v>
      </c>
      <c r="L96" s="2">
        <v>491</v>
      </c>
      <c r="M96" s="2">
        <f t="shared" si="1235"/>
        <v>90</v>
      </c>
      <c r="N96" s="2">
        <v>180</v>
      </c>
      <c r="O96" s="2">
        <f t="shared" ref="O96:Q96" si="1236">_xlfn.RANK.EQ(N96, N$7:N$375,0)</f>
        <v>91</v>
      </c>
      <c r="P96" s="2">
        <v>399</v>
      </c>
      <c r="Q96" s="2">
        <f t="shared" si="1236"/>
        <v>96</v>
      </c>
      <c r="R96" s="4">
        <v>0.45100000000000001</v>
      </c>
      <c r="S96" s="2">
        <f t="shared" ref="S96:U96" si="1237">_xlfn.RANK.EQ(R96, R$7:R$375,0)</f>
        <v>121</v>
      </c>
      <c r="T96" s="2">
        <v>176</v>
      </c>
      <c r="U96" s="2">
        <f t="shared" si="1237"/>
        <v>60</v>
      </c>
      <c r="V96" s="2">
        <v>393</v>
      </c>
      <c r="W96" s="2">
        <f t="shared" ref="W96:Y96" si="1238">_xlfn.RANK.EQ(V96, V$7:V$375,0)</f>
        <v>38</v>
      </c>
      <c r="X96" s="4">
        <v>0.44800000000000001</v>
      </c>
      <c r="Y96" s="2">
        <f t="shared" si="1238"/>
        <v>245</v>
      </c>
      <c r="Z96" s="2">
        <v>4</v>
      </c>
      <c r="AA96" s="2">
        <f t="shared" ref="AA96:AC96" si="1239">_xlfn.RANK.EQ(Z96, Z$7:Z$375,0)</f>
        <v>284</v>
      </c>
      <c r="AB96" s="2">
        <v>6</v>
      </c>
      <c r="AC96" s="2">
        <f t="shared" si="1239"/>
        <v>317</v>
      </c>
      <c r="AD96" s="4">
        <v>0.66700000000000004</v>
      </c>
      <c r="AE96" s="2">
        <f t="shared" ref="AE96:AG96" si="1240">_xlfn.RANK.EQ(AD96, AD$7:AD$375,0)</f>
        <v>3</v>
      </c>
      <c r="AF96" s="2">
        <v>127</v>
      </c>
      <c r="AG96" s="2">
        <f t="shared" si="1240"/>
        <v>47</v>
      </c>
      <c r="AH96" s="2">
        <v>194</v>
      </c>
      <c r="AI96" s="2">
        <f t="shared" ref="AI96:AK96" si="1241">_xlfn.RANK.EQ(AH96, AH$7:AH$375,0)</f>
        <v>33</v>
      </c>
      <c r="AJ96" s="4">
        <v>0.65500000000000003</v>
      </c>
      <c r="AK96" s="2">
        <f t="shared" si="1241"/>
        <v>244</v>
      </c>
      <c r="AL96" s="2">
        <v>129</v>
      </c>
      <c r="AM96" s="2">
        <f t="shared" ref="AM96:AO96" si="1242">_xlfn.RANK.EQ(AL96, AL$7:AL$375,0)</f>
        <v>22</v>
      </c>
      <c r="AN96" s="2">
        <v>212</v>
      </c>
      <c r="AO96" s="2">
        <f t="shared" si="1242"/>
        <v>64</v>
      </c>
      <c r="AP96" s="2">
        <v>341</v>
      </c>
      <c r="AQ96" s="2">
        <f t="shared" ref="AQ96:AS96" si="1243">_xlfn.RANK.EQ(AP96, AP$7:AP$375,0)</f>
        <v>44</v>
      </c>
      <c r="AR96" s="2">
        <v>87</v>
      </c>
      <c r="AS96" s="2">
        <f t="shared" si="1243"/>
        <v>150</v>
      </c>
      <c r="AT96" s="2">
        <v>70</v>
      </c>
      <c r="AU96" s="2">
        <f t="shared" ref="AU96:AW96" si="1244">_xlfn.RANK.EQ(AT96, AT$7:AT$375,0)</f>
        <v>97</v>
      </c>
      <c r="AV96" s="2">
        <v>41</v>
      </c>
      <c r="AW96" s="2">
        <f t="shared" si="1244"/>
        <v>101</v>
      </c>
      <c r="AX96" s="2">
        <v>30</v>
      </c>
      <c r="AY96" s="2">
        <f t="shared" ref="AY96:BA96" si="1245">_xlfn.RANK.EQ(AX96, AX$7:AX$375,0)</f>
        <v>38</v>
      </c>
      <c r="AZ96" s="2">
        <v>20</v>
      </c>
      <c r="BA96" s="2">
        <f t="shared" si="1245"/>
        <v>46</v>
      </c>
      <c r="BB96" s="2">
        <v>148</v>
      </c>
      <c r="BC96" s="2">
        <f t="shared" ref="BC96:BE96" si="1246">_xlfn.RANK.EQ(BB96, BB$7:BB$375,0)</f>
        <v>20</v>
      </c>
      <c r="BD96" s="2">
        <v>183</v>
      </c>
      <c r="BE96" s="2">
        <f t="shared" si="1246"/>
        <v>51</v>
      </c>
      <c r="BF96" s="2">
        <v>646</v>
      </c>
      <c r="BG96" s="2">
        <f t="shared" ref="BG96:BI96" si="1247">_xlfn.RANK.EQ(BF96, BF$7:BF$375,0)</f>
        <v>77</v>
      </c>
      <c r="BH96" s="2">
        <v>232</v>
      </c>
      <c r="BI96" s="2">
        <f t="shared" si="1247"/>
        <v>40</v>
      </c>
    </row>
    <row r="97" spans="1:61" x14ac:dyDescent="0.55000000000000004">
      <c r="A97" s="2">
        <v>91</v>
      </c>
      <c r="B97" s="2" t="s">
        <v>147</v>
      </c>
      <c r="C97" s="2" t="s">
        <v>62</v>
      </c>
      <c r="D97" s="2">
        <v>60</v>
      </c>
      <c r="E97" s="2">
        <f t="shared" si="897"/>
        <v>1</v>
      </c>
      <c r="F97" s="2">
        <v>30</v>
      </c>
      <c r="G97" s="2">
        <f t="shared" ref="G97:I97" si="1248">_xlfn.RANK.EQ(F97, F$7:F$375,0)</f>
        <v>118</v>
      </c>
      <c r="H97" s="3">
        <v>53.619444444444447</v>
      </c>
      <c r="I97" s="2">
        <f t="shared" si="1248"/>
        <v>96</v>
      </c>
      <c r="J97" s="5">
        <v>0.8930555555555556</v>
      </c>
      <c r="K97" s="2">
        <f t="shared" ref="K97:M97" si="1249">_xlfn.RANK.EQ(J97, J$7:J$375,0)</f>
        <v>135</v>
      </c>
      <c r="L97" s="2">
        <v>490</v>
      </c>
      <c r="M97" s="2">
        <f t="shared" si="1249"/>
        <v>91</v>
      </c>
      <c r="N97" s="2">
        <v>168</v>
      </c>
      <c r="O97" s="2">
        <f t="shared" ref="O97:Q97" si="1250">_xlfn.RANK.EQ(N97, N$7:N$375,0)</f>
        <v>99</v>
      </c>
      <c r="P97" s="2">
        <v>490</v>
      </c>
      <c r="Q97" s="2">
        <f t="shared" si="1250"/>
        <v>68</v>
      </c>
      <c r="R97" s="4">
        <v>0.34300000000000003</v>
      </c>
      <c r="S97" s="2">
        <f t="shared" ref="S97:U97" si="1251">_xlfn.RANK.EQ(R97, R$7:R$375,0)</f>
        <v>289</v>
      </c>
      <c r="T97" s="2">
        <v>112</v>
      </c>
      <c r="U97" s="2">
        <f t="shared" si="1251"/>
        <v>99</v>
      </c>
      <c r="V97" s="2">
        <v>280</v>
      </c>
      <c r="W97" s="2">
        <f t="shared" ref="W97:Y97" si="1252">_xlfn.RANK.EQ(V97, V$7:V$375,0)</f>
        <v>72</v>
      </c>
      <c r="X97" s="4">
        <v>0.4</v>
      </c>
      <c r="Y97" s="2">
        <f t="shared" si="1252"/>
        <v>293</v>
      </c>
      <c r="Z97" s="2">
        <v>56</v>
      </c>
      <c r="AA97" s="2">
        <f t="shared" ref="AA97:AC97" si="1253">_xlfn.RANK.EQ(Z97, Z$7:Z$375,0)</f>
        <v>104</v>
      </c>
      <c r="AB97" s="2">
        <v>210</v>
      </c>
      <c r="AC97" s="2">
        <f t="shared" si="1253"/>
        <v>71</v>
      </c>
      <c r="AD97" s="4">
        <v>0.26700000000000002</v>
      </c>
      <c r="AE97" s="2">
        <f t="shared" ref="AE97:AG97" si="1254">_xlfn.RANK.EQ(AD97, AD$7:AD$375,0)</f>
        <v>256</v>
      </c>
      <c r="AF97" s="2">
        <v>98</v>
      </c>
      <c r="AG97" s="2">
        <f t="shared" si="1254"/>
        <v>67</v>
      </c>
      <c r="AH97" s="2">
        <v>123</v>
      </c>
      <c r="AI97" s="2">
        <f t="shared" ref="AI97:AK97" si="1255">_xlfn.RANK.EQ(AH97, AH$7:AH$375,0)</f>
        <v>76</v>
      </c>
      <c r="AJ97" s="4">
        <v>0.79700000000000004</v>
      </c>
      <c r="AK97" s="2">
        <f t="shared" si="1255"/>
        <v>95</v>
      </c>
      <c r="AL97" s="2">
        <v>33</v>
      </c>
      <c r="AM97" s="2">
        <f t="shared" ref="AM97:AO97" si="1256">_xlfn.RANK.EQ(AL97, AL$7:AL$375,0)</f>
        <v>138</v>
      </c>
      <c r="AN97" s="2">
        <v>61</v>
      </c>
      <c r="AO97" s="2">
        <f t="shared" si="1256"/>
        <v>178</v>
      </c>
      <c r="AP97" s="2">
        <v>94</v>
      </c>
      <c r="AQ97" s="2">
        <f t="shared" ref="AQ97:AS97" si="1257">_xlfn.RANK.EQ(AP97, AP$7:AP$375,0)</f>
        <v>169</v>
      </c>
      <c r="AR97" s="2">
        <v>181</v>
      </c>
      <c r="AS97" s="2">
        <f t="shared" si="1257"/>
        <v>51</v>
      </c>
      <c r="AT97" s="2">
        <v>95</v>
      </c>
      <c r="AU97" s="2">
        <f t="shared" ref="AU97:AW97" si="1258">_xlfn.RANK.EQ(AT97, AT$7:AT$375,0)</f>
        <v>55</v>
      </c>
      <c r="AV97" s="2">
        <v>51</v>
      </c>
      <c r="AW97" s="2">
        <f t="shared" si="1258"/>
        <v>56</v>
      </c>
      <c r="AX97" s="2">
        <v>1</v>
      </c>
      <c r="AY97" s="2">
        <f t="shared" ref="AY97:BA97" si="1259">_xlfn.RANK.EQ(AX97, AX$7:AX$375,0)</f>
        <v>265</v>
      </c>
      <c r="AZ97" s="2">
        <v>27</v>
      </c>
      <c r="BA97" s="2">
        <f t="shared" si="1259"/>
        <v>21</v>
      </c>
      <c r="BB97" s="2">
        <v>129</v>
      </c>
      <c r="BC97" s="2">
        <f t="shared" ref="BC97:BE97" si="1260">_xlfn.RANK.EQ(BB97, BB$7:BB$375,0)</f>
        <v>59</v>
      </c>
      <c r="BD97" s="2">
        <v>183</v>
      </c>
      <c r="BE97" s="2">
        <f t="shared" si="1260"/>
        <v>51</v>
      </c>
      <c r="BF97" s="2">
        <v>402</v>
      </c>
      <c r="BG97" s="2">
        <f t="shared" ref="BG97:BI97" si="1261">_xlfn.RANK.EQ(BF97, BF$7:BF$375,0)</f>
        <v>123</v>
      </c>
      <c r="BH97" s="2">
        <v>-104</v>
      </c>
      <c r="BI97" s="2">
        <f t="shared" si="1261"/>
        <v>284</v>
      </c>
    </row>
    <row r="98" spans="1:61" x14ac:dyDescent="0.55000000000000004">
      <c r="A98" s="2">
        <v>92</v>
      </c>
      <c r="B98" s="2" t="s">
        <v>148</v>
      </c>
      <c r="C98" s="2" t="s">
        <v>89</v>
      </c>
      <c r="D98" s="2">
        <v>39</v>
      </c>
      <c r="E98" s="2">
        <f t="shared" si="897"/>
        <v>248</v>
      </c>
      <c r="F98" s="2">
        <v>27</v>
      </c>
      <c r="G98" s="2">
        <f t="shared" ref="G98:I98" si="1262">_xlfn.RANK.EQ(F98, F$7:F$375,0)</f>
        <v>127</v>
      </c>
      <c r="H98" s="3">
        <v>36.706944444444446</v>
      </c>
      <c r="I98" s="2">
        <f t="shared" si="1262"/>
        <v>165</v>
      </c>
      <c r="J98" s="5">
        <v>0.94097222222222221</v>
      </c>
      <c r="K98" s="2">
        <f t="shared" ref="K98:M98" si="1263">_xlfn.RANK.EQ(J98, J$7:J$375,0)</f>
        <v>111</v>
      </c>
      <c r="L98" s="2">
        <v>485</v>
      </c>
      <c r="M98" s="2">
        <f t="shared" si="1263"/>
        <v>92</v>
      </c>
      <c r="N98" s="2">
        <v>166</v>
      </c>
      <c r="O98" s="2">
        <f t="shared" ref="O98:Q98" si="1264">_xlfn.RANK.EQ(N98, N$7:N$375,0)</f>
        <v>100</v>
      </c>
      <c r="P98" s="2">
        <v>366</v>
      </c>
      <c r="Q98" s="2">
        <f t="shared" si="1264"/>
        <v>106</v>
      </c>
      <c r="R98" s="4">
        <v>0.45400000000000001</v>
      </c>
      <c r="S98" s="2">
        <f t="shared" ref="S98:U98" si="1265">_xlfn.RANK.EQ(R98, R$7:R$375,0)</f>
        <v>115</v>
      </c>
      <c r="T98" s="2">
        <v>95</v>
      </c>
      <c r="U98" s="2">
        <f t="shared" si="1265"/>
        <v>111</v>
      </c>
      <c r="V98" s="2">
        <v>182</v>
      </c>
      <c r="W98" s="2">
        <f t="shared" ref="W98:Y98" si="1266">_xlfn.RANK.EQ(V98, V$7:V$375,0)</f>
        <v>113</v>
      </c>
      <c r="X98" s="4">
        <v>0.52200000000000002</v>
      </c>
      <c r="Y98" s="2">
        <f t="shared" si="1266"/>
        <v>151</v>
      </c>
      <c r="Z98" s="2">
        <v>71</v>
      </c>
      <c r="AA98" s="2">
        <f t="shared" ref="AA98:AC98" si="1267">_xlfn.RANK.EQ(Z98, Z$7:Z$375,0)</f>
        <v>74</v>
      </c>
      <c r="AB98" s="2">
        <v>184</v>
      </c>
      <c r="AC98" s="2">
        <f t="shared" si="1267"/>
        <v>94</v>
      </c>
      <c r="AD98" s="4">
        <v>0.38600000000000001</v>
      </c>
      <c r="AE98" s="2">
        <f t="shared" ref="AE98:AG98" si="1268">_xlfn.RANK.EQ(AD98, AD$7:AD$375,0)</f>
        <v>56</v>
      </c>
      <c r="AF98" s="2">
        <v>82</v>
      </c>
      <c r="AG98" s="2">
        <f t="shared" si="1268"/>
        <v>82</v>
      </c>
      <c r="AH98" s="2">
        <v>95</v>
      </c>
      <c r="AI98" s="2">
        <f t="shared" ref="AI98:AK98" si="1269">_xlfn.RANK.EQ(AH98, AH$7:AH$375,0)</f>
        <v>98</v>
      </c>
      <c r="AJ98" s="4">
        <v>0.86299999999999999</v>
      </c>
      <c r="AK98" s="2">
        <f t="shared" si="1269"/>
        <v>32</v>
      </c>
      <c r="AL98" s="2">
        <v>17</v>
      </c>
      <c r="AM98" s="2">
        <f t="shared" ref="AM98:AO98" si="1270">_xlfn.RANK.EQ(AL98, AL$7:AL$375,0)</f>
        <v>226</v>
      </c>
      <c r="AN98" s="2">
        <v>132</v>
      </c>
      <c r="AO98" s="2">
        <f t="shared" si="1270"/>
        <v>89</v>
      </c>
      <c r="AP98" s="2">
        <v>149</v>
      </c>
      <c r="AQ98" s="2">
        <f t="shared" ref="AQ98:AS98" si="1271">_xlfn.RANK.EQ(AP98, AP$7:AP$375,0)</f>
        <v>99</v>
      </c>
      <c r="AR98" s="2">
        <v>69</v>
      </c>
      <c r="AS98" s="2">
        <f t="shared" si="1271"/>
        <v>177</v>
      </c>
      <c r="AT98" s="2">
        <v>44</v>
      </c>
      <c r="AU98" s="2">
        <f t="shared" ref="AU98:AW98" si="1272">_xlfn.RANK.EQ(AT98, AT$7:AT$375,0)</f>
        <v>161</v>
      </c>
      <c r="AV98" s="2">
        <v>29</v>
      </c>
      <c r="AW98" s="2">
        <f t="shared" si="1272"/>
        <v>154</v>
      </c>
      <c r="AX98" s="2">
        <v>5</v>
      </c>
      <c r="AY98" s="2">
        <f t="shared" ref="AY98:BA98" si="1273">_xlfn.RANK.EQ(AX98, AX$7:AX$375,0)</f>
        <v>169</v>
      </c>
      <c r="AZ98" s="2">
        <v>10</v>
      </c>
      <c r="BA98" s="2">
        <f t="shared" si="1273"/>
        <v>144</v>
      </c>
      <c r="BB98" s="2">
        <v>56</v>
      </c>
      <c r="BC98" s="2">
        <f t="shared" ref="BC98:BE98" si="1274">_xlfn.RANK.EQ(BB98, BB$7:BB$375,0)</f>
        <v>255</v>
      </c>
      <c r="BD98" s="2">
        <v>83</v>
      </c>
      <c r="BE98" s="2">
        <f t="shared" si="1274"/>
        <v>129</v>
      </c>
      <c r="BF98" s="2">
        <v>496</v>
      </c>
      <c r="BG98" s="2">
        <f t="shared" ref="BG98:BI98" si="1275">_xlfn.RANK.EQ(BF98, BF$7:BF$375,0)</f>
        <v>103</v>
      </c>
      <c r="BH98" s="2">
        <v>61</v>
      </c>
      <c r="BI98" s="2">
        <f t="shared" si="1275"/>
        <v>96</v>
      </c>
    </row>
    <row r="99" spans="1:61" x14ac:dyDescent="0.55000000000000004">
      <c r="A99" s="2">
        <v>92</v>
      </c>
      <c r="B99" s="2" t="s">
        <v>149</v>
      </c>
      <c r="C99" s="2" t="s">
        <v>106</v>
      </c>
      <c r="D99" s="2">
        <v>58</v>
      </c>
      <c r="E99" s="2">
        <f t="shared" si="897"/>
        <v>78</v>
      </c>
      <c r="F99" s="2">
        <v>13</v>
      </c>
      <c r="G99" s="2">
        <f t="shared" ref="G99:I99" si="1276">_xlfn.RANK.EQ(F99, F$7:F$375,0)</f>
        <v>186</v>
      </c>
      <c r="H99" s="3">
        <v>51.938194444444441</v>
      </c>
      <c r="I99" s="2">
        <f t="shared" si="1276"/>
        <v>104</v>
      </c>
      <c r="J99" s="5">
        <v>0.89513888888888893</v>
      </c>
      <c r="K99" s="2">
        <f t="shared" ref="K99:M99" si="1277">_xlfn.RANK.EQ(J99, J$7:J$375,0)</f>
        <v>134</v>
      </c>
      <c r="L99" s="2">
        <v>485</v>
      </c>
      <c r="M99" s="2">
        <f t="shared" si="1277"/>
        <v>92</v>
      </c>
      <c r="N99" s="2">
        <v>187</v>
      </c>
      <c r="O99" s="2">
        <f t="shared" ref="O99:Q99" si="1278">_xlfn.RANK.EQ(N99, N$7:N$375,0)</f>
        <v>87</v>
      </c>
      <c r="P99" s="2">
        <v>450</v>
      </c>
      <c r="Q99" s="2">
        <f t="shared" si="1278"/>
        <v>79</v>
      </c>
      <c r="R99" s="4">
        <v>0.41599999999999998</v>
      </c>
      <c r="S99" s="2">
        <f t="shared" ref="S99:U99" si="1279">_xlfn.RANK.EQ(R99, R$7:R$375,0)</f>
        <v>172</v>
      </c>
      <c r="T99" s="2">
        <v>131</v>
      </c>
      <c r="U99" s="2">
        <f t="shared" si="1279"/>
        <v>82</v>
      </c>
      <c r="V99" s="2">
        <v>273</v>
      </c>
      <c r="W99" s="2">
        <f t="shared" ref="W99:Y99" si="1280">_xlfn.RANK.EQ(V99, V$7:V$375,0)</f>
        <v>76</v>
      </c>
      <c r="X99" s="4">
        <v>0.48</v>
      </c>
      <c r="Y99" s="2">
        <f t="shared" si="1280"/>
        <v>208</v>
      </c>
      <c r="Z99" s="2">
        <v>56</v>
      </c>
      <c r="AA99" s="2">
        <f t="shared" ref="AA99:AC99" si="1281">_xlfn.RANK.EQ(Z99, Z$7:Z$375,0)</f>
        <v>104</v>
      </c>
      <c r="AB99" s="2">
        <v>177</v>
      </c>
      <c r="AC99" s="2">
        <f t="shared" si="1281"/>
        <v>99</v>
      </c>
      <c r="AD99" s="4">
        <v>0.316</v>
      </c>
      <c r="AE99" s="2">
        <f t="shared" ref="AE99:AG99" si="1282">_xlfn.RANK.EQ(AD99, AD$7:AD$375,0)</f>
        <v>189</v>
      </c>
      <c r="AF99" s="2">
        <v>55</v>
      </c>
      <c r="AG99" s="2">
        <f t="shared" si="1282"/>
        <v>119</v>
      </c>
      <c r="AH99" s="2">
        <v>122</v>
      </c>
      <c r="AI99" s="2">
        <f t="shared" ref="AI99:AK99" si="1283">_xlfn.RANK.EQ(AH99, AH$7:AH$375,0)</f>
        <v>77</v>
      </c>
      <c r="AJ99" s="4">
        <v>0.45100000000000001</v>
      </c>
      <c r="AK99" s="2">
        <f t="shared" si="1283"/>
        <v>337</v>
      </c>
      <c r="AL99" s="2">
        <v>72</v>
      </c>
      <c r="AM99" s="2">
        <f t="shared" ref="AM99:AO99" si="1284">_xlfn.RANK.EQ(AL99, AL$7:AL$375,0)</f>
        <v>56</v>
      </c>
      <c r="AN99" s="2">
        <v>208</v>
      </c>
      <c r="AO99" s="2">
        <f t="shared" si="1284"/>
        <v>65</v>
      </c>
      <c r="AP99" s="2">
        <v>280</v>
      </c>
      <c r="AQ99" s="2">
        <f t="shared" ref="AQ99:AS99" si="1285">_xlfn.RANK.EQ(AP99, AP$7:AP$375,0)</f>
        <v>68</v>
      </c>
      <c r="AR99" s="2">
        <v>97</v>
      </c>
      <c r="AS99" s="2">
        <f t="shared" si="1285"/>
        <v>133</v>
      </c>
      <c r="AT99" s="2">
        <v>79</v>
      </c>
      <c r="AU99" s="2">
        <f t="shared" ref="AU99:AW99" si="1286">_xlfn.RANK.EQ(AT99, AT$7:AT$375,0)</f>
        <v>82</v>
      </c>
      <c r="AV99" s="2">
        <v>32</v>
      </c>
      <c r="AW99" s="2">
        <f t="shared" si="1286"/>
        <v>137</v>
      </c>
      <c r="AX99" s="2">
        <v>22</v>
      </c>
      <c r="AY99" s="2">
        <f t="shared" ref="AY99:BA99" si="1287">_xlfn.RANK.EQ(AX99, AX$7:AX$375,0)</f>
        <v>59</v>
      </c>
      <c r="AZ99" s="2">
        <v>23</v>
      </c>
      <c r="BA99" s="2">
        <f t="shared" si="1287"/>
        <v>34</v>
      </c>
      <c r="BB99" s="2">
        <v>142</v>
      </c>
      <c r="BC99" s="2">
        <f t="shared" ref="BC99:BE99" si="1288">_xlfn.RANK.EQ(BB99, BB$7:BB$375,0)</f>
        <v>32</v>
      </c>
      <c r="BD99" s="2">
        <v>132</v>
      </c>
      <c r="BE99" s="2">
        <f t="shared" si="1288"/>
        <v>84</v>
      </c>
      <c r="BF99" s="2">
        <v>473</v>
      </c>
      <c r="BG99" s="2">
        <f t="shared" ref="BG99:BI99" si="1289">_xlfn.RANK.EQ(BF99, BF$7:BF$375,0)</f>
        <v>106</v>
      </c>
      <c r="BH99" s="2">
        <v>-115</v>
      </c>
      <c r="BI99" s="2">
        <f t="shared" si="1289"/>
        <v>295</v>
      </c>
    </row>
    <row r="100" spans="1:61" x14ac:dyDescent="0.55000000000000004">
      <c r="A100" s="2">
        <v>94</v>
      </c>
      <c r="B100" s="2" t="s">
        <v>150</v>
      </c>
      <c r="C100" s="2" t="s">
        <v>32</v>
      </c>
      <c r="D100" s="2">
        <v>58</v>
      </c>
      <c r="E100" s="2">
        <f t="shared" si="897"/>
        <v>78</v>
      </c>
      <c r="F100" s="2">
        <v>21</v>
      </c>
      <c r="G100" s="2">
        <f t="shared" ref="G100:I100" si="1290">_xlfn.RANK.EQ(F100, F$7:F$375,0)</f>
        <v>146</v>
      </c>
      <c r="H100" s="3">
        <v>53.445138888888891</v>
      </c>
      <c r="I100" s="2">
        <f t="shared" si="1290"/>
        <v>99</v>
      </c>
      <c r="J100" s="5">
        <v>0.92083333333333328</v>
      </c>
      <c r="K100" s="2">
        <f t="shared" ref="K100:M100" si="1291">_xlfn.RANK.EQ(J100, J$7:J$375,0)</f>
        <v>122</v>
      </c>
      <c r="L100" s="2">
        <v>484</v>
      </c>
      <c r="M100" s="2">
        <f t="shared" si="1291"/>
        <v>94</v>
      </c>
      <c r="N100" s="2">
        <v>201</v>
      </c>
      <c r="O100" s="2">
        <f t="shared" ref="O100:Q100" si="1292">_xlfn.RANK.EQ(N100, N$7:N$375,0)</f>
        <v>80</v>
      </c>
      <c r="P100" s="2">
        <v>344</v>
      </c>
      <c r="Q100" s="2">
        <f t="shared" si="1292"/>
        <v>113</v>
      </c>
      <c r="R100" s="4">
        <v>0.58399999999999996</v>
      </c>
      <c r="S100" s="2">
        <f t="shared" ref="S100:U100" si="1293">_xlfn.RANK.EQ(R100, R$7:R$375,0)</f>
        <v>26</v>
      </c>
      <c r="T100" s="2">
        <v>201</v>
      </c>
      <c r="U100" s="2">
        <f t="shared" si="1293"/>
        <v>49</v>
      </c>
      <c r="V100" s="2">
        <v>344</v>
      </c>
      <c r="W100" s="2">
        <f t="shared" ref="W100:Y100" si="1294">_xlfn.RANK.EQ(V100, V$7:V$375,0)</f>
        <v>52</v>
      </c>
      <c r="X100" s="4">
        <v>0.58399999999999996</v>
      </c>
      <c r="Y100" s="2">
        <f t="shared" si="1294"/>
        <v>70</v>
      </c>
      <c r="Z100" s="2">
        <v>0</v>
      </c>
      <c r="AA100" s="2">
        <f t="shared" ref="AA100:AC100" si="1295">_xlfn.RANK.EQ(Z100, Z$7:Z$375,0)</f>
        <v>329</v>
      </c>
      <c r="AB100" s="2">
        <v>0</v>
      </c>
      <c r="AC100" s="2">
        <f t="shared" si="1295"/>
        <v>360</v>
      </c>
      <c r="AD100" s="4">
        <v>0</v>
      </c>
      <c r="AE100" s="2">
        <f t="shared" ref="AE100:AG100" si="1296">_xlfn.RANK.EQ(AD100, AD$7:AD$375,0)</f>
        <v>329</v>
      </c>
      <c r="AF100" s="2">
        <v>82</v>
      </c>
      <c r="AG100" s="2">
        <f t="shared" si="1296"/>
        <v>82</v>
      </c>
      <c r="AH100" s="2">
        <v>176</v>
      </c>
      <c r="AI100" s="2">
        <f t="shared" ref="AI100:AK100" si="1297">_xlfn.RANK.EQ(AH100, AH$7:AH$375,0)</f>
        <v>48</v>
      </c>
      <c r="AJ100" s="4">
        <v>0.46600000000000003</v>
      </c>
      <c r="AK100" s="2">
        <f t="shared" si="1297"/>
        <v>333</v>
      </c>
      <c r="AL100" s="2">
        <v>178</v>
      </c>
      <c r="AM100" s="2">
        <f t="shared" ref="AM100:AO100" si="1298">_xlfn.RANK.EQ(AL100, AL$7:AL$375,0)</f>
        <v>6</v>
      </c>
      <c r="AN100" s="2">
        <v>286</v>
      </c>
      <c r="AO100" s="2">
        <f t="shared" si="1298"/>
        <v>25</v>
      </c>
      <c r="AP100" s="2">
        <v>464</v>
      </c>
      <c r="AQ100" s="2">
        <f t="shared" ref="AQ100:AS100" si="1299">_xlfn.RANK.EQ(AP100, AP$7:AP$375,0)</f>
        <v>11</v>
      </c>
      <c r="AR100" s="2">
        <v>65</v>
      </c>
      <c r="AS100" s="2">
        <f t="shared" si="1299"/>
        <v>187</v>
      </c>
      <c r="AT100" s="2">
        <v>90</v>
      </c>
      <c r="AU100" s="2">
        <f t="shared" ref="AU100:AW100" si="1300">_xlfn.RANK.EQ(AT100, AT$7:AT$375,0)</f>
        <v>63</v>
      </c>
      <c r="AV100" s="2">
        <v>50</v>
      </c>
      <c r="AW100" s="2">
        <f t="shared" si="1300"/>
        <v>62</v>
      </c>
      <c r="AX100" s="2">
        <v>40</v>
      </c>
      <c r="AY100" s="2">
        <f t="shared" ref="AY100:BA100" si="1301">_xlfn.RANK.EQ(AX100, AX$7:AX$375,0)</f>
        <v>22</v>
      </c>
      <c r="AZ100" s="2">
        <v>23</v>
      </c>
      <c r="BA100" s="2">
        <f t="shared" si="1301"/>
        <v>34</v>
      </c>
      <c r="BB100" s="2">
        <v>127</v>
      </c>
      <c r="BC100" s="2">
        <f t="shared" ref="BC100:BE100" si="1302">_xlfn.RANK.EQ(BB100, BB$7:BB$375,0)</f>
        <v>63</v>
      </c>
      <c r="BD100" s="2">
        <v>160</v>
      </c>
      <c r="BE100" s="2">
        <f t="shared" si="1302"/>
        <v>66</v>
      </c>
      <c r="BF100" s="2">
        <v>783</v>
      </c>
      <c r="BG100" s="2">
        <f t="shared" ref="BG100:BI100" si="1303">_xlfn.RANK.EQ(BF100, BF$7:BF$375,0)</f>
        <v>63</v>
      </c>
      <c r="BH100" s="2">
        <v>40</v>
      </c>
      <c r="BI100" s="2">
        <f t="shared" si="1303"/>
        <v>106</v>
      </c>
    </row>
    <row r="101" spans="1:61" x14ac:dyDescent="0.55000000000000004">
      <c r="A101" s="2">
        <v>95</v>
      </c>
      <c r="B101" s="2" t="s">
        <v>151</v>
      </c>
      <c r="C101" s="2" t="s">
        <v>54</v>
      </c>
      <c r="D101" s="2">
        <v>60</v>
      </c>
      <c r="E101" s="2">
        <f t="shared" si="897"/>
        <v>1</v>
      </c>
      <c r="F101" s="2">
        <v>1</v>
      </c>
      <c r="G101" s="2">
        <f t="shared" ref="G101:I101" si="1304">_xlfn.RANK.EQ(F101, F$7:F$375,0)</f>
        <v>272</v>
      </c>
      <c r="H101" s="3">
        <v>42.590277777777779</v>
      </c>
      <c r="I101" s="2">
        <f t="shared" si="1304"/>
        <v>139</v>
      </c>
      <c r="J101" s="5">
        <v>0.70972222222222225</v>
      </c>
      <c r="K101" s="2">
        <f t="shared" ref="K101:M101" si="1305">_xlfn.RANK.EQ(J101, J$7:J$375,0)</f>
        <v>191</v>
      </c>
      <c r="L101" s="2">
        <v>483</v>
      </c>
      <c r="M101" s="2">
        <f t="shared" si="1305"/>
        <v>95</v>
      </c>
      <c r="N101" s="2">
        <v>176</v>
      </c>
      <c r="O101" s="2">
        <f t="shared" ref="O101:Q101" si="1306">_xlfn.RANK.EQ(N101, N$7:N$375,0)</f>
        <v>92</v>
      </c>
      <c r="P101" s="2">
        <v>361</v>
      </c>
      <c r="Q101" s="2">
        <f t="shared" si="1306"/>
        <v>108</v>
      </c>
      <c r="R101" s="4">
        <v>0.48799999999999999</v>
      </c>
      <c r="S101" s="2">
        <f t="shared" ref="S101:U101" si="1307">_xlfn.RANK.EQ(R101, R$7:R$375,0)</f>
        <v>79</v>
      </c>
      <c r="T101" s="2">
        <v>103</v>
      </c>
      <c r="U101" s="2">
        <f t="shared" si="1307"/>
        <v>102</v>
      </c>
      <c r="V101" s="2">
        <v>167</v>
      </c>
      <c r="W101" s="2">
        <f t="shared" ref="W101:Y101" si="1308">_xlfn.RANK.EQ(V101, V$7:V$375,0)</f>
        <v>120</v>
      </c>
      <c r="X101" s="4">
        <v>0.61699999999999999</v>
      </c>
      <c r="Y101" s="2">
        <f t="shared" si="1308"/>
        <v>44</v>
      </c>
      <c r="Z101" s="2">
        <v>73</v>
      </c>
      <c r="AA101" s="2">
        <f t="shared" ref="AA101:AC101" si="1309">_xlfn.RANK.EQ(Z101, Z$7:Z$375,0)</f>
        <v>71</v>
      </c>
      <c r="AB101" s="2">
        <v>194</v>
      </c>
      <c r="AC101" s="2">
        <f t="shared" si="1309"/>
        <v>80</v>
      </c>
      <c r="AD101" s="4">
        <v>0.376</v>
      </c>
      <c r="AE101" s="2">
        <f t="shared" ref="AE101:AG101" si="1310">_xlfn.RANK.EQ(AD101, AD$7:AD$375,0)</f>
        <v>69</v>
      </c>
      <c r="AF101" s="2">
        <v>58</v>
      </c>
      <c r="AG101" s="2">
        <f t="shared" si="1310"/>
        <v>111</v>
      </c>
      <c r="AH101" s="2">
        <v>70</v>
      </c>
      <c r="AI101" s="2">
        <f t="shared" ref="AI101:AK101" si="1311">_xlfn.RANK.EQ(AH101, AH$7:AH$375,0)</f>
        <v>124</v>
      </c>
      <c r="AJ101" s="4">
        <v>0.82899999999999996</v>
      </c>
      <c r="AK101" s="2">
        <f t="shared" si="1311"/>
        <v>58</v>
      </c>
      <c r="AL101" s="2">
        <v>44</v>
      </c>
      <c r="AM101" s="2">
        <f t="shared" ref="AM101:AO101" si="1312">_xlfn.RANK.EQ(AL101, AL$7:AL$375,0)</f>
        <v>105</v>
      </c>
      <c r="AN101" s="2">
        <v>99</v>
      </c>
      <c r="AO101" s="2">
        <f t="shared" si="1312"/>
        <v>110</v>
      </c>
      <c r="AP101" s="2">
        <v>143</v>
      </c>
      <c r="AQ101" s="2">
        <f t="shared" ref="AQ101:AS101" si="1313">_xlfn.RANK.EQ(AP101, AP$7:AP$375,0)</f>
        <v>106</v>
      </c>
      <c r="AR101" s="2">
        <v>27</v>
      </c>
      <c r="AS101" s="2">
        <f t="shared" si="1313"/>
        <v>254</v>
      </c>
      <c r="AT101" s="2">
        <v>33</v>
      </c>
      <c r="AU101" s="2">
        <f t="shared" ref="AU101:AW101" si="1314">_xlfn.RANK.EQ(AT101, AT$7:AT$375,0)</f>
        <v>200</v>
      </c>
      <c r="AV101" s="2">
        <v>33</v>
      </c>
      <c r="AW101" s="2">
        <f t="shared" si="1314"/>
        <v>133</v>
      </c>
      <c r="AX101" s="2">
        <v>8</v>
      </c>
      <c r="AY101" s="2">
        <f t="shared" ref="AY101:BA101" si="1315">_xlfn.RANK.EQ(AX101, AX$7:AX$375,0)</f>
        <v>125</v>
      </c>
      <c r="AZ101" s="2">
        <v>11</v>
      </c>
      <c r="BA101" s="2">
        <f t="shared" si="1315"/>
        <v>132</v>
      </c>
      <c r="BB101" s="2">
        <v>103</v>
      </c>
      <c r="BC101" s="2">
        <f t="shared" ref="BC101:BE101" si="1316">_xlfn.RANK.EQ(BB101, BB$7:BB$375,0)</f>
        <v>130</v>
      </c>
      <c r="BD101" s="2">
        <v>65</v>
      </c>
      <c r="BE101" s="2">
        <f t="shared" si="1316"/>
        <v>148</v>
      </c>
      <c r="BF101" s="2">
        <v>415</v>
      </c>
      <c r="BG101" s="2">
        <f t="shared" ref="BG101:BI101" si="1317">_xlfn.RANK.EQ(BF101, BF$7:BF$375,0)</f>
        <v>117</v>
      </c>
      <c r="BH101" s="2">
        <v>164</v>
      </c>
      <c r="BI101" s="2">
        <f t="shared" si="1317"/>
        <v>57</v>
      </c>
    </row>
    <row r="102" spans="1:61" x14ac:dyDescent="0.55000000000000004">
      <c r="A102" s="2">
        <v>96</v>
      </c>
      <c r="B102" s="2" t="s">
        <v>152</v>
      </c>
      <c r="C102" s="2" t="s">
        <v>72</v>
      </c>
      <c r="D102" s="2">
        <v>60</v>
      </c>
      <c r="E102" s="2">
        <f t="shared" si="897"/>
        <v>1</v>
      </c>
      <c r="F102" s="2">
        <v>42</v>
      </c>
      <c r="G102" s="2">
        <f t="shared" ref="G102:I102" si="1318">_xlfn.RANK.EQ(F102, F$7:F$375,0)</f>
        <v>75</v>
      </c>
      <c r="H102" s="3">
        <v>63.108333333333334</v>
      </c>
      <c r="I102" s="2">
        <f t="shared" si="1318"/>
        <v>42</v>
      </c>
      <c r="J102" s="3">
        <v>1.0513888888888889</v>
      </c>
      <c r="K102" s="2">
        <f t="shared" ref="K102:M102" si="1319">_xlfn.RANK.EQ(J102, J$7:J$375,0)</f>
        <v>75</v>
      </c>
      <c r="L102" s="2">
        <v>478</v>
      </c>
      <c r="M102" s="2">
        <f t="shared" si="1319"/>
        <v>96</v>
      </c>
      <c r="N102" s="2">
        <v>174</v>
      </c>
      <c r="O102" s="2">
        <f t="shared" ref="O102:Q102" si="1320">_xlfn.RANK.EQ(N102, N$7:N$375,0)</f>
        <v>93</v>
      </c>
      <c r="P102" s="2">
        <v>481</v>
      </c>
      <c r="Q102" s="2">
        <f t="shared" si="1320"/>
        <v>71</v>
      </c>
      <c r="R102" s="4">
        <v>0.36199999999999999</v>
      </c>
      <c r="S102" s="2">
        <f t="shared" ref="S102:U102" si="1321">_xlfn.RANK.EQ(R102, R$7:R$375,0)</f>
        <v>260</v>
      </c>
      <c r="T102" s="2">
        <v>130</v>
      </c>
      <c r="U102" s="2">
        <f t="shared" si="1321"/>
        <v>85</v>
      </c>
      <c r="V102" s="2">
        <v>289</v>
      </c>
      <c r="W102" s="2">
        <f t="shared" ref="W102:Y102" si="1322">_xlfn.RANK.EQ(V102, V$7:V$375,0)</f>
        <v>69</v>
      </c>
      <c r="X102" s="4">
        <v>0.45</v>
      </c>
      <c r="Y102" s="2">
        <f t="shared" si="1322"/>
        <v>242</v>
      </c>
      <c r="Z102" s="2">
        <v>44</v>
      </c>
      <c r="AA102" s="2">
        <f t="shared" ref="AA102:AC102" si="1323">_xlfn.RANK.EQ(Z102, Z$7:Z$375,0)</f>
        <v>138</v>
      </c>
      <c r="AB102" s="2">
        <v>192</v>
      </c>
      <c r="AC102" s="2">
        <f t="shared" si="1323"/>
        <v>82</v>
      </c>
      <c r="AD102" s="4">
        <v>0.22900000000000001</v>
      </c>
      <c r="AE102" s="2">
        <f t="shared" ref="AE102:AG102" si="1324">_xlfn.RANK.EQ(AD102, AD$7:AD$375,0)</f>
        <v>283</v>
      </c>
      <c r="AF102" s="2">
        <v>86</v>
      </c>
      <c r="AG102" s="2">
        <f t="shared" si="1324"/>
        <v>76</v>
      </c>
      <c r="AH102" s="2">
        <v>112</v>
      </c>
      <c r="AI102" s="2">
        <f t="shared" ref="AI102:AK102" si="1325">_xlfn.RANK.EQ(AH102, AH$7:AH$375,0)</f>
        <v>87</v>
      </c>
      <c r="AJ102" s="4">
        <v>0.76800000000000002</v>
      </c>
      <c r="AK102" s="2">
        <f t="shared" si="1325"/>
        <v>127</v>
      </c>
      <c r="AL102" s="2">
        <v>37</v>
      </c>
      <c r="AM102" s="2">
        <f t="shared" ref="AM102:AO102" si="1326">_xlfn.RANK.EQ(AL102, AL$7:AL$375,0)</f>
        <v>123</v>
      </c>
      <c r="AN102" s="2">
        <v>105</v>
      </c>
      <c r="AO102" s="2">
        <f t="shared" si="1326"/>
        <v>104</v>
      </c>
      <c r="AP102" s="2">
        <v>142</v>
      </c>
      <c r="AQ102" s="2">
        <f t="shared" ref="AQ102:AS102" si="1327">_xlfn.RANK.EQ(AP102, AP$7:AP$375,0)</f>
        <v>108</v>
      </c>
      <c r="AR102" s="2">
        <v>292</v>
      </c>
      <c r="AS102" s="2">
        <f t="shared" si="1327"/>
        <v>7</v>
      </c>
      <c r="AT102" s="2">
        <v>126</v>
      </c>
      <c r="AU102" s="2">
        <f t="shared" ref="AU102:AW102" si="1328">_xlfn.RANK.EQ(AT102, AT$7:AT$375,0)</f>
        <v>16</v>
      </c>
      <c r="AV102" s="2">
        <v>85</v>
      </c>
      <c r="AW102" s="2">
        <f t="shared" si="1328"/>
        <v>13</v>
      </c>
      <c r="AX102" s="2">
        <v>7</v>
      </c>
      <c r="AY102" s="2">
        <f t="shared" ref="AY102:BA102" si="1329">_xlfn.RANK.EQ(AX102, AX$7:AX$375,0)</f>
        <v>138</v>
      </c>
      <c r="AZ102" s="2">
        <v>13</v>
      </c>
      <c r="BA102" s="2">
        <f t="shared" si="1329"/>
        <v>114</v>
      </c>
      <c r="BB102" s="2">
        <v>147</v>
      </c>
      <c r="BC102" s="2">
        <f t="shared" ref="BC102:BE102" si="1330">_xlfn.RANK.EQ(BB102, BB$7:BB$375,0)</f>
        <v>23</v>
      </c>
      <c r="BD102" s="2">
        <v>136</v>
      </c>
      <c r="BE102" s="2">
        <f t="shared" si="1330"/>
        <v>80</v>
      </c>
      <c r="BF102" s="2">
        <v>521</v>
      </c>
      <c r="BG102" s="2">
        <f t="shared" ref="BG102:BI102" si="1331">_xlfn.RANK.EQ(BF102, BF$7:BF$375,0)</f>
        <v>101</v>
      </c>
      <c r="BH102" s="2">
        <v>42</v>
      </c>
      <c r="BI102" s="2">
        <f t="shared" si="1331"/>
        <v>105</v>
      </c>
    </row>
    <row r="103" spans="1:61" x14ac:dyDescent="0.55000000000000004">
      <c r="A103" s="2">
        <v>97</v>
      </c>
      <c r="B103" s="2" t="s">
        <v>153</v>
      </c>
      <c r="C103" s="2" t="s">
        <v>62</v>
      </c>
      <c r="D103" s="2">
        <v>51</v>
      </c>
      <c r="E103" s="2">
        <f t="shared" si="897"/>
        <v>183</v>
      </c>
      <c r="F103" s="2">
        <v>51</v>
      </c>
      <c r="G103" s="2">
        <f t="shared" ref="G103:I103" si="1332">_xlfn.RANK.EQ(F103, F$7:F$375,0)</f>
        <v>46</v>
      </c>
      <c r="H103" s="3">
        <v>56.184027777777779</v>
      </c>
      <c r="I103" s="2">
        <f t="shared" si="1332"/>
        <v>78</v>
      </c>
      <c r="J103" s="3">
        <v>1.101388888888889</v>
      </c>
      <c r="K103" s="2">
        <f t="shared" ref="K103:M103" si="1333">_xlfn.RANK.EQ(J103, J$7:J$375,0)</f>
        <v>57</v>
      </c>
      <c r="L103" s="2">
        <v>474</v>
      </c>
      <c r="M103" s="2">
        <f t="shared" si="1333"/>
        <v>97</v>
      </c>
      <c r="N103" s="2">
        <v>190</v>
      </c>
      <c r="O103" s="2">
        <f t="shared" ref="O103:Q103" si="1334">_xlfn.RANK.EQ(N103, N$7:N$375,0)</f>
        <v>86</v>
      </c>
      <c r="P103" s="2">
        <v>427</v>
      </c>
      <c r="Q103" s="2">
        <f t="shared" si="1334"/>
        <v>86</v>
      </c>
      <c r="R103" s="4">
        <v>0.44500000000000001</v>
      </c>
      <c r="S103" s="2">
        <f t="shared" ref="S103:U103" si="1335">_xlfn.RANK.EQ(R103, R$7:R$375,0)</f>
        <v>126</v>
      </c>
      <c r="T103" s="2">
        <v>127</v>
      </c>
      <c r="U103" s="2">
        <f t="shared" si="1335"/>
        <v>88</v>
      </c>
      <c r="V103" s="2">
        <v>259</v>
      </c>
      <c r="W103" s="2">
        <f t="shared" ref="W103:Y103" si="1336">_xlfn.RANK.EQ(V103, V$7:V$375,0)</f>
        <v>82</v>
      </c>
      <c r="X103" s="4">
        <v>0.49</v>
      </c>
      <c r="Y103" s="2">
        <f t="shared" si="1336"/>
        <v>196</v>
      </c>
      <c r="Z103" s="2">
        <v>63</v>
      </c>
      <c r="AA103" s="2">
        <f t="shared" ref="AA103:AC103" si="1337">_xlfn.RANK.EQ(Z103, Z$7:Z$375,0)</f>
        <v>89</v>
      </c>
      <c r="AB103" s="2">
        <v>168</v>
      </c>
      <c r="AC103" s="2">
        <f t="shared" si="1337"/>
        <v>110</v>
      </c>
      <c r="AD103" s="4">
        <v>0.375</v>
      </c>
      <c r="AE103" s="2">
        <f t="shared" ref="AE103:AG103" si="1338">_xlfn.RANK.EQ(AD103, AD$7:AD$375,0)</f>
        <v>70</v>
      </c>
      <c r="AF103" s="2">
        <v>31</v>
      </c>
      <c r="AG103" s="2">
        <f t="shared" si="1338"/>
        <v>164</v>
      </c>
      <c r="AH103" s="2">
        <v>34</v>
      </c>
      <c r="AI103" s="2">
        <f t="shared" ref="AI103:AK103" si="1339">_xlfn.RANK.EQ(AH103, AH$7:AH$375,0)</f>
        <v>199</v>
      </c>
      <c r="AJ103" s="4">
        <v>0.91200000000000003</v>
      </c>
      <c r="AK103" s="2">
        <f t="shared" si="1339"/>
        <v>16</v>
      </c>
      <c r="AL103" s="2">
        <v>21</v>
      </c>
      <c r="AM103" s="2">
        <f t="shared" ref="AM103:AO103" si="1340">_xlfn.RANK.EQ(AL103, AL$7:AL$375,0)</f>
        <v>193</v>
      </c>
      <c r="AN103" s="2">
        <v>50</v>
      </c>
      <c r="AO103" s="2">
        <f t="shared" si="1340"/>
        <v>196</v>
      </c>
      <c r="AP103" s="2">
        <v>71</v>
      </c>
      <c r="AQ103" s="2">
        <f t="shared" ref="AQ103:AS103" si="1341">_xlfn.RANK.EQ(AP103, AP$7:AP$375,0)</f>
        <v>203</v>
      </c>
      <c r="AR103" s="2">
        <v>134</v>
      </c>
      <c r="AS103" s="2">
        <f t="shared" si="1341"/>
        <v>87</v>
      </c>
      <c r="AT103" s="2">
        <v>51</v>
      </c>
      <c r="AU103" s="2">
        <f t="shared" ref="AU103:AW103" si="1342">_xlfn.RANK.EQ(AT103, AT$7:AT$375,0)</f>
        <v>143</v>
      </c>
      <c r="AV103" s="2">
        <v>52</v>
      </c>
      <c r="AW103" s="2">
        <f t="shared" si="1342"/>
        <v>51</v>
      </c>
      <c r="AX103" s="2">
        <v>5</v>
      </c>
      <c r="AY103" s="2">
        <f t="shared" ref="AY103:BA103" si="1343">_xlfn.RANK.EQ(AX103, AX$7:AX$375,0)</f>
        <v>169</v>
      </c>
      <c r="AZ103" s="2">
        <v>6</v>
      </c>
      <c r="BA103" s="2">
        <f t="shared" si="1343"/>
        <v>214</v>
      </c>
      <c r="BB103" s="2">
        <v>88</v>
      </c>
      <c r="BC103" s="2">
        <f t="shared" ref="BC103:BE103" si="1344">_xlfn.RANK.EQ(BB103, BB$7:BB$375,0)</f>
        <v>168</v>
      </c>
      <c r="BD103" s="2">
        <v>46</v>
      </c>
      <c r="BE103" s="2">
        <f t="shared" si="1344"/>
        <v>182</v>
      </c>
      <c r="BF103" s="2">
        <v>397</v>
      </c>
      <c r="BG103" s="2">
        <f t="shared" ref="BG103:BI103" si="1345">_xlfn.RANK.EQ(BF103, BF$7:BF$375,0)</f>
        <v>125</v>
      </c>
      <c r="BH103" s="2">
        <v>-134</v>
      </c>
      <c r="BI103" s="2">
        <f t="shared" si="1345"/>
        <v>309</v>
      </c>
    </row>
    <row r="104" spans="1:61" x14ac:dyDescent="0.55000000000000004">
      <c r="A104" s="2">
        <v>98</v>
      </c>
      <c r="B104" s="2" t="s">
        <v>154</v>
      </c>
      <c r="C104" s="2" t="s">
        <v>67</v>
      </c>
      <c r="D104" s="2">
        <v>59</v>
      </c>
      <c r="E104" s="2">
        <f t="shared" si="897"/>
        <v>58</v>
      </c>
      <c r="F104" s="2">
        <v>25</v>
      </c>
      <c r="G104" s="2">
        <f t="shared" ref="G104:I104" si="1346">_xlfn.RANK.EQ(F104, F$7:F$375,0)</f>
        <v>132</v>
      </c>
      <c r="H104" s="3">
        <v>49.046527777777776</v>
      </c>
      <c r="I104" s="2">
        <f t="shared" si="1346"/>
        <v>113</v>
      </c>
      <c r="J104" s="5">
        <v>0.83125000000000004</v>
      </c>
      <c r="K104" s="2">
        <f t="shared" ref="K104:M104" si="1347">_xlfn.RANK.EQ(J104, J$7:J$375,0)</f>
        <v>153</v>
      </c>
      <c r="L104" s="2">
        <v>466</v>
      </c>
      <c r="M104" s="2">
        <f t="shared" si="1347"/>
        <v>98</v>
      </c>
      <c r="N104" s="2">
        <v>152</v>
      </c>
      <c r="O104" s="2">
        <f t="shared" ref="O104:Q104" si="1348">_xlfn.RANK.EQ(N104, N$7:N$375,0)</f>
        <v>113</v>
      </c>
      <c r="P104" s="2">
        <v>374</v>
      </c>
      <c r="Q104" s="2">
        <f t="shared" si="1348"/>
        <v>102</v>
      </c>
      <c r="R104" s="4">
        <v>0.40600000000000003</v>
      </c>
      <c r="S104" s="2">
        <f t="shared" ref="S104:U104" si="1349">_xlfn.RANK.EQ(R104, R$7:R$375,0)</f>
        <v>187</v>
      </c>
      <c r="T104" s="2">
        <v>36</v>
      </c>
      <c r="U104" s="2">
        <f t="shared" si="1349"/>
        <v>207</v>
      </c>
      <c r="V104" s="2">
        <v>64</v>
      </c>
      <c r="W104" s="2">
        <f t="shared" ref="W104:Y104" si="1350">_xlfn.RANK.EQ(V104, V$7:V$375,0)</f>
        <v>225</v>
      </c>
      <c r="X104" s="4">
        <v>0.56299999999999994</v>
      </c>
      <c r="Y104" s="2">
        <f t="shared" si="1350"/>
        <v>89</v>
      </c>
      <c r="Z104" s="2">
        <v>116</v>
      </c>
      <c r="AA104" s="2">
        <f t="shared" ref="AA104:AC104" si="1351">_xlfn.RANK.EQ(Z104, Z$7:Z$375,0)</f>
        <v>20</v>
      </c>
      <c r="AB104" s="2">
        <v>310</v>
      </c>
      <c r="AC104" s="2">
        <f t="shared" si="1351"/>
        <v>27</v>
      </c>
      <c r="AD104" s="4">
        <v>0.374</v>
      </c>
      <c r="AE104" s="2">
        <f t="shared" ref="AE104:AG104" si="1352">_xlfn.RANK.EQ(AD104, AD$7:AD$375,0)</f>
        <v>75</v>
      </c>
      <c r="AF104" s="2">
        <v>46</v>
      </c>
      <c r="AG104" s="2">
        <f t="shared" si="1352"/>
        <v>135</v>
      </c>
      <c r="AH104" s="2">
        <v>54</v>
      </c>
      <c r="AI104" s="2">
        <f t="shared" ref="AI104:AK104" si="1353">_xlfn.RANK.EQ(AH104, AH$7:AH$375,0)</f>
        <v>149</v>
      </c>
      <c r="AJ104" s="4">
        <v>0.85199999999999998</v>
      </c>
      <c r="AK104" s="2">
        <f t="shared" si="1353"/>
        <v>36</v>
      </c>
      <c r="AL104" s="2">
        <v>18</v>
      </c>
      <c r="AM104" s="2">
        <f t="shared" ref="AM104:AO104" si="1354">_xlfn.RANK.EQ(AL104, AL$7:AL$375,0)</f>
        <v>215</v>
      </c>
      <c r="AN104" s="2">
        <v>66</v>
      </c>
      <c r="AO104" s="2">
        <f t="shared" si="1354"/>
        <v>169</v>
      </c>
      <c r="AP104" s="2">
        <v>84</v>
      </c>
      <c r="AQ104" s="2">
        <f t="shared" ref="AQ104:AS104" si="1355">_xlfn.RANK.EQ(AP104, AP$7:AP$375,0)</f>
        <v>180</v>
      </c>
      <c r="AR104" s="2">
        <v>129</v>
      </c>
      <c r="AS104" s="2">
        <f t="shared" si="1355"/>
        <v>92</v>
      </c>
      <c r="AT104" s="2">
        <v>41</v>
      </c>
      <c r="AU104" s="2">
        <f t="shared" ref="AU104:AW104" si="1356">_xlfn.RANK.EQ(AT104, AT$7:AT$375,0)</f>
        <v>171</v>
      </c>
      <c r="AV104" s="2">
        <v>20</v>
      </c>
      <c r="AW104" s="2">
        <f t="shared" si="1356"/>
        <v>207</v>
      </c>
      <c r="AX104" s="2">
        <v>2</v>
      </c>
      <c r="AY104" s="2">
        <f t="shared" ref="AY104:BA104" si="1357">_xlfn.RANK.EQ(AX104, AX$7:AX$375,0)</f>
        <v>234</v>
      </c>
      <c r="AZ104" s="2">
        <v>6</v>
      </c>
      <c r="BA104" s="2">
        <f t="shared" si="1357"/>
        <v>214</v>
      </c>
      <c r="BB104" s="2">
        <v>72</v>
      </c>
      <c r="BC104" s="2">
        <f t="shared" ref="BC104:BE104" si="1358">_xlfn.RANK.EQ(BB104, BB$7:BB$375,0)</f>
        <v>208</v>
      </c>
      <c r="BD104" s="2">
        <v>69</v>
      </c>
      <c r="BE104" s="2">
        <f t="shared" si="1358"/>
        <v>141</v>
      </c>
      <c r="BF104" s="2">
        <v>421</v>
      </c>
      <c r="BG104" s="2">
        <f t="shared" ref="BG104:BI104" si="1359">_xlfn.RANK.EQ(BF104, BF$7:BF$375,0)</f>
        <v>115</v>
      </c>
      <c r="BH104" s="2">
        <v>331</v>
      </c>
      <c r="BI104" s="2">
        <f t="shared" si="1359"/>
        <v>19</v>
      </c>
    </row>
    <row r="105" spans="1:61" x14ac:dyDescent="0.55000000000000004">
      <c r="A105" s="2">
        <v>99</v>
      </c>
      <c r="B105" s="2" t="s">
        <v>155</v>
      </c>
      <c r="C105" s="2" t="s">
        <v>38</v>
      </c>
      <c r="D105" s="2">
        <v>60</v>
      </c>
      <c r="E105" s="2">
        <f t="shared" si="897"/>
        <v>1</v>
      </c>
      <c r="F105" s="2">
        <v>25</v>
      </c>
      <c r="G105" s="2">
        <f t="shared" ref="G105:I105" si="1360">_xlfn.RANK.EQ(F105, F$7:F$375,0)</f>
        <v>132</v>
      </c>
      <c r="H105" s="3">
        <v>58.357638888888886</v>
      </c>
      <c r="I105" s="2">
        <f t="shared" si="1360"/>
        <v>66</v>
      </c>
      <c r="J105" s="5">
        <v>0.97222222222222221</v>
      </c>
      <c r="K105" s="2">
        <f t="shared" ref="K105:M105" si="1361">_xlfn.RANK.EQ(J105, J$7:J$375,0)</f>
        <v>100</v>
      </c>
      <c r="L105" s="2">
        <v>463</v>
      </c>
      <c r="M105" s="2">
        <f t="shared" si="1361"/>
        <v>99</v>
      </c>
      <c r="N105" s="2">
        <v>153</v>
      </c>
      <c r="O105" s="2">
        <f t="shared" ref="O105:Q105" si="1362">_xlfn.RANK.EQ(N105, N$7:N$375,0)</f>
        <v>108</v>
      </c>
      <c r="P105" s="2">
        <v>431</v>
      </c>
      <c r="Q105" s="2">
        <f t="shared" si="1362"/>
        <v>84</v>
      </c>
      <c r="R105" s="4">
        <v>0.35499999999999998</v>
      </c>
      <c r="S105" s="2">
        <f t="shared" ref="S105:U105" si="1363">_xlfn.RANK.EQ(R105, R$7:R$375,0)</f>
        <v>271</v>
      </c>
      <c r="T105" s="2">
        <v>71</v>
      </c>
      <c r="U105" s="2">
        <f t="shared" si="1363"/>
        <v>137</v>
      </c>
      <c r="V105" s="2">
        <v>149</v>
      </c>
      <c r="W105" s="2">
        <f t="shared" ref="W105:Y105" si="1364">_xlfn.RANK.EQ(V105, V$7:V$375,0)</f>
        <v>137</v>
      </c>
      <c r="X105" s="4">
        <v>0.47699999999999998</v>
      </c>
      <c r="Y105" s="2">
        <f t="shared" si="1364"/>
        <v>212</v>
      </c>
      <c r="Z105" s="2">
        <v>82</v>
      </c>
      <c r="AA105" s="2">
        <f t="shared" ref="AA105:AC105" si="1365">_xlfn.RANK.EQ(Z105, Z$7:Z$375,0)</f>
        <v>57</v>
      </c>
      <c r="AB105" s="2">
        <v>282</v>
      </c>
      <c r="AC105" s="2">
        <f t="shared" si="1365"/>
        <v>35</v>
      </c>
      <c r="AD105" s="4">
        <v>0.29099999999999998</v>
      </c>
      <c r="AE105" s="2">
        <f t="shared" ref="AE105:AG105" si="1366">_xlfn.RANK.EQ(AD105, AD$7:AD$375,0)</f>
        <v>229</v>
      </c>
      <c r="AF105" s="2">
        <v>75</v>
      </c>
      <c r="AG105" s="2">
        <f t="shared" si="1366"/>
        <v>94</v>
      </c>
      <c r="AH105" s="2">
        <v>91</v>
      </c>
      <c r="AI105" s="2">
        <f t="shared" ref="AI105:AK105" si="1367">_xlfn.RANK.EQ(AH105, AH$7:AH$375,0)</f>
        <v>103</v>
      </c>
      <c r="AJ105" s="4">
        <v>0.82399999999999995</v>
      </c>
      <c r="AK105" s="2">
        <f t="shared" si="1367"/>
        <v>60</v>
      </c>
      <c r="AL105" s="2">
        <v>27</v>
      </c>
      <c r="AM105" s="2">
        <f t="shared" ref="AM105:AO105" si="1368">_xlfn.RANK.EQ(AL105, AL$7:AL$375,0)</f>
        <v>162</v>
      </c>
      <c r="AN105" s="2">
        <v>111</v>
      </c>
      <c r="AO105" s="2">
        <f t="shared" si="1368"/>
        <v>100</v>
      </c>
      <c r="AP105" s="2">
        <v>138</v>
      </c>
      <c r="AQ105" s="2">
        <f t="shared" ref="AQ105:AS105" si="1369">_xlfn.RANK.EQ(AP105, AP$7:AP$375,0)</f>
        <v>112</v>
      </c>
      <c r="AR105" s="2">
        <v>333</v>
      </c>
      <c r="AS105" s="2">
        <f t="shared" si="1369"/>
        <v>4</v>
      </c>
      <c r="AT105" s="2">
        <v>101</v>
      </c>
      <c r="AU105" s="2">
        <f t="shared" ref="AU105:AW105" si="1370">_xlfn.RANK.EQ(AT105, AT$7:AT$375,0)</f>
        <v>47</v>
      </c>
      <c r="AV105" s="2">
        <v>53</v>
      </c>
      <c r="AW105" s="2">
        <f t="shared" si="1370"/>
        <v>48</v>
      </c>
      <c r="AX105" s="2">
        <v>3</v>
      </c>
      <c r="AY105" s="2">
        <f t="shared" ref="AY105:BA105" si="1371">_xlfn.RANK.EQ(AX105, AX$7:AX$375,0)</f>
        <v>208</v>
      </c>
      <c r="AZ105" s="2">
        <v>9</v>
      </c>
      <c r="BA105" s="2">
        <f t="shared" si="1371"/>
        <v>160</v>
      </c>
      <c r="BB105" s="2">
        <v>115</v>
      </c>
      <c r="BC105" s="2">
        <f t="shared" ref="BC105:BE105" si="1372">_xlfn.RANK.EQ(BB105, BB$7:BB$375,0)</f>
        <v>94</v>
      </c>
      <c r="BD105" s="2">
        <v>148</v>
      </c>
      <c r="BE105" s="2">
        <f t="shared" si="1372"/>
        <v>72</v>
      </c>
      <c r="BF105" s="2">
        <v>618</v>
      </c>
      <c r="BG105" s="2">
        <f t="shared" ref="BG105:BI105" si="1373">_xlfn.RANK.EQ(BF105, BF$7:BF$375,0)</f>
        <v>87</v>
      </c>
      <c r="BH105" s="2">
        <v>126</v>
      </c>
      <c r="BI105" s="2">
        <f t="shared" si="1373"/>
        <v>75</v>
      </c>
    </row>
    <row r="106" spans="1:61" x14ac:dyDescent="0.55000000000000004">
      <c r="A106" s="2">
        <v>100</v>
      </c>
      <c r="B106" s="2" t="s">
        <v>156</v>
      </c>
      <c r="C106" s="2" t="s">
        <v>113</v>
      </c>
      <c r="D106" s="2">
        <v>52</v>
      </c>
      <c r="E106" s="2">
        <f t="shared" si="897"/>
        <v>176</v>
      </c>
      <c r="F106" s="2">
        <v>4</v>
      </c>
      <c r="G106" s="2">
        <f t="shared" ref="G106:I106" si="1374">_xlfn.RANK.EQ(F106, F$7:F$375,0)</f>
        <v>244</v>
      </c>
      <c r="H106" s="3">
        <v>44.975000000000001</v>
      </c>
      <c r="I106" s="2">
        <f t="shared" si="1374"/>
        <v>132</v>
      </c>
      <c r="J106" s="5">
        <v>0.86458333333333337</v>
      </c>
      <c r="K106" s="2">
        <f t="shared" ref="K106:M106" si="1375">_xlfn.RANK.EQ(J106, J$7:J$375,0)</f>
        <v>145</v>
      </c>
      <c r="L106" s="2">
        <v>460</v>
      </c>
      <c r="M106" s="2">
        <f t="shared" si="1375"/>
        <v>100</v>
      </c>
      <c r="N106" s="2">
        <v>164</v>
      </c>
      <c r="O106" s="2">
        <f t="shared" ref="O106:Q106" si="1376">_xlfn.RANK.EQ(N106, N$7:N$375,0)</f>
        <v>103</v>
      </c>
      <c r="P106" s="2">
        <v>368</v>
      </c>
      <c r="Q106" s="2">
        <f t="shared" si="1376"/>
        <v>105</v>
      </c>
      <c r="R106" s="4">
        <v>0.44600000000000001</v>
      </c>
      <c r="S106" s="2">
        <f t="shared" ref="S106:U106" si="1377">_xlfn.RANK.EQ(R106, R$7:R$375,0)</f>
        <v>125</v>
      </c>
      <c r="T106" s="2">
        <v>89</v>
      </c>
      <c r="U106" s="2">
        <f t="shared" si="1377"/>
        <v>116</v>
      </c>
      <c r="V106" s="2">
        <v>177</v>
      </c>
      <c r="W106" s="2">
        <f t="shared" ref="W106:Y106" si="1378">_xlfn.RANK.EQ(V106, V$7:V$375,0)</f>
        <v>116</v>
      </c>
      <c r="X106" s="4">
        <v>0.503</v>
      </c>
      <c r="Y106" s="2">
        <f t="shared" si="1378"/>
        <v>174</v>
      </c>
      <c r="Z106" s="2">
        <v>75</v>
      </c>
      <c r="AA106" s="2">
        <f t="shared" ref="AA106:AC106" si="1379">_xlfn.RANK.EQ(Z106, Z$7:Z$375,0)</f>
        <v>67</v>
      </c>
      <c r="AB106" s="2">
        <v>191</v>
      </c>
      <c r="AC106" s="2">
        <f t="shared" si="1379"/>
        <v>84</v>
      </c>
      <c r="AD106" s="4">
        <v>0.39300000000000002</v>
      </c>
      <c r="AE106" s="2">
        <f t="shared" ref="AE106:AG106" si="1380">_xlfn.RANK.EQ(AD106, AD$7:AD$375,0)</f>
        <v>46</v>
      </c>
      <c r="AF106" s="2">
        <v>57</v>
      </c>
      <c r="AG106" s="2">
        <f t="shared" si="1380"/>
        <v>113</v>
      </c>
      <c r="AH106" s="2">
        <v>75</v>
      </c>
      <c r="AI106" s="2">
        <f t="shared" ref="AI106:AK106" si="1381">_xlfn.RANK.EQ(AH106, AH$7:AH$375,0)</f>
        <v>120</v>
      </c>
      <c r="AJ106" s="4">
        <v>0.76</v>
      </c>
      <c r="AK106" s="2">
        <f t="shared" si="1381"/>
        <v>138</v>
      </c>
      <c r="AL106" s="2">
        <v>19</v>
      </c>
      <c r="AM106" s="2">
        <f t="shared" ref="AM106:AO106" si="1382">_xlfn.RANK.EQ(AL106, AL$7:AL$375,0)</f>
        <v>205</v>
      </c>
      <c r="AN106" s="2">
        <v>57</v>
      </c>
      <c r="AO106" s="2">
        <f t="shared" si="1382"/>
        <v>186</v>
      </c>
      <c r="AP106" s="2">
        <v>76</v>
      </c>
      <c r="AQ106" s="2">
        <f t="shared" ref="AQ106:AS106" si="1383">_xlfn.RANK.EQ(AP106, AP$7:AP$375,0)</f>
        <v>197</v>
      </c>
      <c r="AR106" s="2">
        <v>69</v>
      </c>
      <c r="AS106" s="2">
        <f t="shared" si="1383"/>
        <v>177</v>
      </c>
      <c r="AT106" s="2">
        <v>57</v>
      </c>
      <c r="AU106" s="2">
        <f t="shared" ref="AU106:AW106" si="1384">_xlfn.RANK.EQ(AT106, AT$7:AT$375,0)</f>
        <v>128</v>
      </c>
      <c r="AV106" s="2">
        <v>18</v>
      </c>
      <c r="AW106" s="2">
        <f t="shared" si="1384"/>
        <v>221</v>
      </c>
      <c r="AX106" s="2">
        <v>1</v>
      </c>
      <c r="AY106" s="2">
        <f t="shared" ref="AY106:BA106" si="1385">_xlfn.RANK.EQ(AX106, AX$7:AX$375,0)</f>
        <v>265</v>
      </c>
      <c r="AZ106" s="2">
        <v>9</v>
      </c>
      <c r="BA106" s="2">
        <f t="shared" si="1385"/>
        <v>160</v>
      </c>
      <c r="BB106" s="2">
        <v>61</v>
      </c>
      <c r="BC106" s="2">
        <f t="shared" ref="BC106:BE106" si="1386">_xlfn.RANK.EQ(BB106, BB$7:BB$375,0)</f>
        <v>242</v>
      </c>
      <c r="BD106" s="2">
        <v>68</v>
      </c>
      <c r="BE106" s="2">
        <f t="shared" si="1386"/>
        <v>144</v>
      </c>
      <c r="BF106" s="2">
        <v>343</v>
      </c>
      <c r="BG106" s="2">
        <f t="shared" ref="BG106:BI106" si="1387">_xlfn.RANK.EQ(BF106, BF$7:BF$375,0)</f>
        <v>133</v>
      </c>
      <c r="BH106" s="2">
        <v>-199</v>
      </c>
      <c r="BI106" s="2">
        <f t="shared" si="1387"/>
        <v>340</v>
      </c>
    </row>
    <row r="107" spans="1:61" x14ac:dyDescent="0.55000000000000004">
      <c r="A107" s="2">
        <v>101</v>
      </c>
      <c r="B107" s="2" t="s">
        <v>157</v>
      </c>
      <c r="C107" s="2" t="s">
        <v>113</v>
      </c>
      <c r="D107" s="2">
        <v>52</v>
      </c>
      <c r="E107" s="2">
        <f t="shared" si="897"/>
        <v>176</v>
      </c>
      <c r="F107" s="2">
        <v>49</v>
      </c>
      <c r="G107" s="2">
        <f t="shared" ref="G107:I107" si="1388">_xlfn.RANK.EQ(F107, F$7:F$375,0)</f>
        <v>56</v>
      </c>
      <c r="H107" s="3">
        <v>54.007638888888891</v>
      </c>
      <c r="I107" s="2">
        <f t="shared" si="1388"/>
        <v>93</v>
      </c>
      <c r="J107" s="3">
        <v>1.0381944444444444</v>
      </c>
      <c r="K107" s="2">
        <f t="shared" ref="K107:M107" si="1389">_xlfn.RANK.EQ(J107, J$7:J$375,0)</f>
        <v>79</v>
      </c>
      <c r="L107" s="2">
        <v>458</v>
      </c>
      <c r="M107" s="2">
        <f t="shared" si="1389"/>
        <v>101</v>
      </c>
      <c r="N107" s="2">
        <v>162</v>
      </c>
      <c r="O107" s="2">
        <f t="shared" ref="O107:Q107" si="1390">_xlfn.RANK.EQ(N107, N$7:N$375,0)</f>
        <v>104</v>
      </c>
      <c r="P107" s="2">
        <v>424</v>
      </c>
      <c r="Q107" s="2">
        <f t="shared" si="1390"/>
        <v>88</v>
      </c>
      <c r="R107" s="4">
        <v>0.38200000000000001</v>
      </c>
      <c r="S107" s="2">
        <f t="shared" ref="S107:U107" si="1391">_xlfn.RANK.EQ(R107, R$7:R$375,0)</f>
        <v>234</v>
      </c>
      <c r="T107" s="2">
        <v>83</v>
      </c>
      <c r="U107" s="2">
        <f t="shared" si="1391"/>
        <v>119</v>
      </c>
      <c r="V107" s="2">
        <v>181</v>
      </c>
      <c r="W107" s="2">
        <f t="shared" ref="W107:Y107" si="1392">_xlfn.RANK.EQ(V107, V$7:V$375,0)</f>
        <v>114</v>
      </c>
      <c r="X107" s="4">
        <v>0.45900000000000002</v>
      </c>
      <c r="Y107" s="2">
        <f t="shared" si="1392"/>
        <v>233</v>
      </c>
      <c r="Z107" s="2">
        <v>79</v>
      </c>
      <c r="AA107" s="2">
        <f t="shared" ref="AA107:AC107" si="1393">_xlfn.RANK.EQ(Z107, Z$7:Z$375,0)</f>
        <v>63</v>
      </c>
      <c r="AB107" s="2">
        <v>243</v>
      </c>
      <c r="AC107" s="2">
        <f t="shared" si="1393"/>
        <v>52</v>
      </c>
      <c r="AD107" s="4">
        <v>0.32500000000000001</v>
      </c>
      <c r="AE107" s="2">
        <f t="shared" ref="AE107:AG107" si="1394">_xlfn.RANK.EQ(AD107, AD$7:AD$375,0)</f>
        <v>172</v>
      </c>
      <c r="AF107" s="2">
        <v>55</v>
      </c>
      <c r="AG107" s="2">
        <f t="shared" si="1394"/>
        <v>119</v>
      </c>
      <c r="AH107" s="2">
        <v>76</v>
      </c>
      <c r="AI107" s="2">
        <f t="shared" ref="AI107:AK107" si="1395">_xlfn.RANK.EQ(AH107, AH$7:AH$375,0)</f>
        <v>119</v>
      </c>
      <c r="AJ107" s="4">
        <v>0.72399999999999998</v>
      </c>
      <c r="AK107" s="2">
        <f t="shared" si="1395"/>
        <v>181</v>
      </c>
      <c r="AL107" s="2">
        <v>26</v>
      </c>
      <c r="AM107" s="2">
        <f t="shared" ref="AM107:AO107" si="1396">_xlfn.RANK.EQ(AL107, AL$7:AL$375,0)</f>
        <v>168</v>
      </c>
      <c r="AN107" s="2">
        <v>74</v>
      </c>
      <c r="AO107" s="2">
        <f t="shared" si="1396"/>
        <v>155</v>
      </c>
      <c r="AP107" s="2">
        <v>100</v>
      </c>
      <c r="AQ107" s="2">
        <f t="shared" ref="AQ107:AS107" si="1397">_xlfn.RANK.EQ(AP107, AP$7:AP$375,0)</f>
        <v>161</v>
      </c>
      <c r="AR107" s="2">
        <v>85</v>
      </c>
      <c r="AS107" s="2">
        <f t="shared" si="1397"/>
        <v>153</v>
      </c>
      <c r="AT107" s="2">
        <v>60</v>
      </c>
      <c r="AU107" s="2">
        <f t="shared" ref="AU107:AW107" si="1398">_xlfn.RANK.EQ(AT107, AT$7:AT$375,0)</f>
        <v>120</v>
      </c>
      <c r="AV107" s="2">
        <v>56</v>
      </c>
      <c r="AW107" s="2">
        <f t="shared" si="1398"/>
        <v>38</v>
      </c>
      <c r="AX107" s="2">
        <v>3</v>
      </c>
      <c r="AY107" s="2">
        <f t="shared" ref="AY107:BA107" si="1399">_xlfn.RANK.EQ(AX107, AX$7:AX$375,0)</f>
        <v>208</v>
      </c>
      <c r="AZ107" s="2">
        <v>15</v>
      </c>
      <c r="BA107" s="2">
        <f t="shared" si="1399"/>
        <v>87</v>
      </c>
      <c r="BB107" s="2">
        <v>114</v>
      </c>
      <c r="BC107" s="2">
        <f t="shared" ref="BC107:BE107" si="1400">_xlfn.RANK.EQ(BB107, BB$7:BB$375,0)</f>
        <v>97</v>
      </c>
      <c r="BD107" s="2">
        <v>87</v>
      </c>
      <c r="BE107" s="2">
        <f t="shared" si="1400"/>
        <v>124</v>
      </c>
      <c r="BF107" s="2">
        <v>317</v>
      </c>
      <c r="BG107" s="2">
        <f t="shared" ref="BG107:BI107" si="1401">_xlfn.RANK.EQ(BF107, BF$7:BF$375,0)</f>
        <v>137</v>
      </c>
      <c r="BH107" s="2">
        <v>-93</v>
      </c>
      <c r="BI107" s="2">
        <f t="shared" si="1401"/>
        <v>273</v>
      </c>
    </row>
    <row r="108" spans="1:61" x14ac:dyDescent="0.55000000000000004">
      <c r="A108" s="2">
        <v>102</v>
      </c>
      <c r="B108" s="2" t="s">
        <v>158</v>
      </c>
      <c r="C108" s="2" t="s">
        <v>91</v>
      </c>
      <c r="D108" s="2">
        <v>47</v>
      </c>
      <c r="E108" s="2">
        <f t="shared" si="897"/>
        <v>207</v>
      </c>
      <c r="F108" s="2">
        <v>21</v>
      </c>
      <c r="G108" s="2">
        <f t="shared" ref="G108:I108" si="1402">_xlfn.RANK.EQ(F108, F$7:F$375,0)</f>
        <v>146</v>
      </c>
      <c r="H108" s="3">
        <v>46.940972222222221</v>
      </c>
      <c r="I108" s="2">
        <f t="shared" si="1402"/>
        <v>123</v>
      </c>
      <c r="J108" s="5">
        <v>0.99861111111111112</v>
      </c>
      <c r="K108" s="2">
        <f t="shared" ref="K108:M108" si="1403">_xlfn.RANK.EQ(J108, J$7:J$375,0)</f>
        <v>95</v>
      </c>
      <c r="L108" s="2">
        <v>447</v>
      </c>
      <c r="M108" s="2">
        <f t="shared" si="1403"/>
        <v>102</v>
      </c>
      <c r="N108" s="2">
        <v>137</v>
      </c>
      <c r="O108" s="2">
        <f t="shared" ref="O108:Q108" si="1404">_xlfn.RANK.EQ(N108, N$7:N$375,0)</f>
        <v>126</v>
      </c>
      <c r="P108" s="2">
        <v>347</v>
      </c>
      <c r="Q108" s="2">
        <f t="shared" si="1404"/>
        <v>112</v>
      </c>
      <c r="R108" s="4">
        <v>0.39500000000000002</v>
      </c>
      <c r="S108" s="2">
        <f t="shared" ref="S108:U108" si="1405">_xlfn.RANK.EQ(R108, R$7:R$375,0)</f>
        <v>211</v>
      </c>
      <c r="T108" s="2">
        <v>111</v>
      </c>
      <c r="U108" s="2">
        <f t="shared" si="1405"/>
        <v>100</v>
      </c>
      <c r="V108" s="2">
        <v>223</v>
      </c>
      <c r="W108" s="2">
        <f t="shared" ref="W108:Y108" si="1406">_xlfn.RANK.EQ(V108, V$7:V$375,0)</f>
        <v>92</v>
      </c>
      <c r="X108" s="4">
        <v>0.498</v>
      </c>
      <c r="Y108" s="2">
        <f t="shared" si="1406"/>
        <v>186</v>
      </c>
      <c r="Z108" s="2">
        <v>26</v>
      </c>
      <c r="AA108" s="2">
        <f t="shared" ref="AA108:AC108" si="1407">_xlfn.RANK.EQ(Z108, Z$7:Z$375,0)</f>
        <v>187</v>
      </c>
      <c r="AB108" s="2">
        <v>124</v>
      </c>
      <c r="AC108" s="2">
        <f t="shared" si="1407"/>
        <v>148</v>
      </c>
      <c r="AD108" s="4">
        <v>0.21</v>
      </c>
      <c r="AE108" s="2">
        <f t="shared" ref="AE108:AG108" si="1408">_xlfn.RANK.EQ(AD108, AD$7:AD$375,0)</f>
        <v>295</v>
      </c>
      <c r="AF108" s="2">
        <v>147</v>
      </c>
      <c r="AG108" s="2">
        <f t="shared" si="1408"/>
        <v>33</v>
      </c>
      <c r="AH108" s="2">
        <v>189</v>
      </c>
      <c r="AI108" s="2">
        <f t="shared" ref="AI108:AK108" si="1409">_xlfn.RANK.EQ(AH108, AH$7:AH$375,0)</f>
        <v>38</v>
      </c>
      <c r="AJ108" s="4">
        <v>0.77800000000000002</v>
      </c>
      <c r="AK108" s="2">
        <f t="shared" si="1409"/>
        <v>112</v>
      </c>
      <c r="AL108" s="2">
        <v>63</v>
      </c>
      <c r="AM108" s="2">
        <f t="shared" ref="AM108:AO108" si="1410">_xlfn.RANK.EQ(AL108, AL$7:AL$375,0)</f>
        <v>71</v>
      </c>
      <c r="AN108" s="2">
        <v>143</v>
      </c>
      <c r="AO108" s="2">
        <f t="shared" si="1410"/>
        <v>86</v>
      </c>
      <c r="AP108" s="2">
        <v>206</v>
      </c>
      <c r="AQ108" s="2">
        <f t="shared" ref="AQ108:AS108" si="1411">_xlfn.RANK.EQ(AP108, AP$7:AP$375,0)</f>
        <v>84</v>
      </c>
      <c r="AR108" s="2">
        <v>146</v>
      </c>
      <c r="AS108" s="2">
        <f t="shared" si="1411"/>
        <v>75</v>
      </c>
      <c r="AT108" s="2">
        <v>71</v>
      </c>
      <c r="AU108" s="2">
        <f t="shared" ref="AU108:AW108" si="1412">_xlfn.RANK.EQ(AT108, AT$7:AT$375,0)</f>
        <v>92</v>
      </c>
      <c r="AV108" s="2">
        <v>38</v>
      </c>
      <c r="AW108" s="2">
        <f t="shared" si="1412"/>
        <v>115</v>
      </c>
      <c r="AX108" s="2">
        <v>3</v>
      </c>
      <c r="AY108" s="2">
        <f t="shared" ref="AY108:BA108" si="1413">_xlfn.RANK.EQ(AX108, AX$7:AX$375,0)</f>
        <v>208</v>
      </c>
      <c r="AZ108" s="2">
        <v>9</v>
      </c>
      <c r="BA108" s="2">
        <f t="shared" si="1413"/>
        <v>160</v>
      </c>
      <c r="BB108" s="2">
        <v>64</v>
      </c>
      <c r="BC108" s="2">
        <f t="shared" ref="BC108:BE108" si="1414">_xlfn.RANK.EQ(BB108, BB$7:BB$375,0)</f>
        <v>234</v>
      </c>
      <c r="BD108" s="2">
        <v>176</v>
      </c>
      <c r="BE108" s="2">
        <f t="shared" si="1414"/>
        <v>54</v>
      </c>
      <c r="BF108" s="2">
        <v>620</v>
      </c>
      <c r="BG108" s="2">
        <f t="shared" ref="BG108:BI108" si="1415">_xlfn.RANK.EQ(BF108, BF$7:BF$375,0)</f>
        <v>86</v>
      </c>
      <c r="BH108" s="2">
        <v>-186</v>
      </c>
      <c r="BI108" s="2">
        <f t="shared" si="1415"/>
        <v>338</v>
      </c>
    </row>
    <row r="109" spans="1:61" x14ac:dyDescent="0.55000000000000004">
      <c r="A109" s="2">
        <v>103</v>
      </c>
      <c r="B109" s="2" t="s">
        <v>159</v>
      </c>
      <c r="C109" s="2" t="s">
        <v>38</v>
      </c>
      <c r="D109" s="2">
        <v>60</v>
      </c>
      <c r="E109" s="2">
        <f t="shared" si="897"/>
        <v>1</v>
      </c>
      <c r="F109" s="2">
        <v>20</v>
      </c>
      <c r="G109" s="2">
        <f t="shared" ref="G109:I109" si="1416">_xlfn.RANK.EQ(F109, F$7:F$375,0)</f>
        <v>153</v>
      </c>
      <c r="H109" s="3">
        <v>55.605555555555554</v>
      </c>
      <c r="I109" s="2">
        <f t="shared" si="1416"/>
        <v>82</v>
      </c>
      <c r="J109" s="5">
        <v>0.92638888888888893</v>
      </c>
      <c r="K109" s="2">
        <f t="shared" ref="K109:M109" si="1417">_xlfn.RANK.EQ(J109, J$7:J$375,0)</f>
        <v>117</v>
      </c>
      <c r="L109" s="2">
        <v>444</v>
      </c>
      <c r="M109" s="2">
        <f t="shared" si="1417"/>
        <v>103</v>
      </c>
      <c r="N109" s="2">
        <v>145</v>
      </c>
      <c r="O109" s="2">
        <f t="shared" ref="O109:Q109" si="1418">_xlfn.RANK.EQ(N109, N$7:N$375,0)</f>
        <v>120</v>
      </c>
      <c r="P109" s="2">
        <v>338</v>
      </c>
      <c r="Q109" s="2">
        <f t="shared" si="1418"/>
        <v>118</v>
      </c>
      <c r="R109" s="4">
        <v>0.42899999999999999</v>
      </c>
      <c r="S109" s="2">
        <f t="shared" ref="S109:U109" si="1419">_xlfn.RANK.EQ(R109, R$7:R$375,0)</f>
        <v>150</v>
      </c>
      <c r="T109" s="2">
        <v>15</v>
      </c>
      <c r="U109" s="2">
        <f t="shared" si="1419"/>
        <v>275</v>
      </c>
      <c r="V109" s="2">
        <v>27</v>
      </c>
      <c r="W109" s="2">
        <f t="shared" ref="W109:Y109" si="1420">_xlfn.RANK.EQ(V109, V$7:V$375,0)</f>
        <v>287</v>
      </c>
      <c r="X109" s="4">
        <v>0.55600000000000005</v>
      </c>
      <c r="Y109" s="2">
        <f t="shared" si="1420"/>
        <v>105</v>
      </c>
      <c r="Z109" s="2">
        <v>130</v>
      </c>
      <c r="AA109" s="2">
        <f t="shared" ref="AA109:AC109" si="1421">_xlfn.RANK.EQ(Z109, Z$7:Z$375,0)</f>
        <v>14</v>
      </c>
      <c r="AB109" s="2">
        <v>311</v>
      </c>
      <c r="AC109" s="2">
        <f t="shared" si="1421"/>
        <v>26</v>
      </c>
      <c r="AD109" s="4">
        <v>0.41799999999999998</v>
      </c>
      <c r="AE109" s="2">
        <f t="shared" ref="AE109:AG109" si="1422">_xlfn.RANK.EQ(AD109, AD$7:AD$375,0)</f>
        <v>30</v>
      </c>
      <c r="AF109" s="2">
        <v>24</v>
      </c>
      <c r="AG109" s="2">
        <f t="shared" si="1422"/>
        <v>195</v>
      </c>
      <c r="AH109" s="2">
        <v>43</v>
      </c>
      <c r="AI109" s="2">
        <f t="shared" ref="AI109:AK109" si="1423">_xlfn.RANK.EQ(AH109, AH$7:AH$375,0)</f>
        <v>167</v>
      </c>
      <c r="AJ109" s="4">
        <v>0.55800000000000005</v>
      </c>
      <c r="AK109" s="2">
        <f t="shared" si="1423"/>
        <v>293</v>
      </c>
      <c r="AL109" s="2">
        <v>32</v>
      </c>
      <c r="AM109" s="2">
        <f t="shared" ref="AM109:AO109" si="1424">_xlfn.RANK.EQ(AL109, AL$7:AL$375,0)</f>
        <v>141</v>
      </c>
      <c r="AN109" s="2">
        <v>62</v>
      </c>
      <c r="AO109" s="2">
        <f t="shared" si="1424"/>
        <v>174</v>
      </c>
      <c r="AP109" s="2">
        <v>94</v>
      </c>
      <c r="AQ109" s="2">
        <f t="shared" ref="AQ109:AS109" si="1425">_xlfn.RANK.EQ(AP109, AP$7:AP$375,0)</f>
        <v>169</v>
      </c>
      <c r="AR109" s="2">
        <v>71</v>
      </c>
      <c r="AS109" s="2">
        <f t="shared" si="1425"/>
        <v>176</v>
      </c>
      <c r="AT109" s="2">
        <v>27</v>
      </c>
      <c r="AU109" s="2">
        <f t="shared" ref="AU109:AW109" si="1426">_xlfn.RANK.EQ(AT109, AT$7:AT$375,0)</f>
        <v>219</v>
      </c>
      <c r="AV109" s="2">
        <v>23</v>
      </c>
      <c r="AW109" s="2">
        <f t="shared" si="1426"/>
        <v>190</v>
      </c>
      <c r="AX109" s="2">
        <v>3</v>
      </c>
      <c r="AY109" s="2">
        <f t="shared" ref="AY109:BA109" si="1427">_xlfn.RANK.EQ(AX109, AX$7:AX$375,0)</f>
        <v>208</v>
      </c>
      <c r="AZ109" s="2">
        <v>1</v>
      </c>
      <c r="BA109" s="2">
        <f t="shared" si="1427"/>
        <v>308</v>
      </c>
      <c r="BB109" s="2">
        <v>124</v>
      </c>
      <c r="BC109" s="2">
        <f t="shared" ref="BC109:BE109" si="1428">_xlfn.RANK.EQ(BB109, BB$7:BB$375,0)</f>
        <v>68</v>
      </c>
      <c r="BD109" s="2">
        <v>28</v>
      </c>
      <c r="BE109" s="2">
        <f t="shared" si="1428"/>
        <v>238</v>
      </c>
      <c r="BF109" s="2">
        <v>298</v>
      </c>
      <c r="BG109" s="2">
        <f t="shared" ref="BG109:BI109" si="1429">_xlfn.RANK.EQ(BF109, BF$7:BF$375,0)</f>
        <v>145</v>
      </c>
      <c r="BH109" s="2">
        <v>-8</v>
      </c>
      <c r="BI109" s="2">
        <f t="shared" si="1429"/>
        <v>163</v>
      </c>
    </row>
    <row r="110" spans="1:61" x14ac:dyDescent="0.55000000000000004">
      <c r="A110" s="2">
        <v>104</v>
      </c>
      <c r="B110" s="2" t="s">
        <v>160</v>
      </c>
      <c r="C110" s="2" t="s">
        <v>91</v>
      </c>
      <c r="D110" s="2">
        <v>60</v>
      </c>
      <c r="E110" s="2">
        <f t="shared" si="897"/>
        <v>1</v>
      </c>
      <c r="F110" s="2">
        <v>19</v>
      </c>
      <c r="G110" s="2">
        <f t="shared" ref="G110:I110" si="1430">_xlfn.RANK.EQ(F110, F$7:F$375,0)</f>
        <v>155</v>
      </c>
      <c r="H110" s="3">
        <v>46.259722222222223</v>
      </c>
      <c r="I110" s="2">
        <f t="shared" si="1430"/>
        <v>126</v>
      </c>
      <c r="J110" s="5">
        <v>0.77083333333333337</v>
      </c>
      <c r="K110" s="2">
        <f t="shared" ref="K110:M110" si="1431">_xlfn.RANK.EQ(J110, J$7:J$375,0)</f>
        <v>174</v>
      </c>
      <c r="L110" s="2">
        <v>441</v>
      </c>
      <c r="M110" s="2">
        <f t="shared" si="1431"/>
        <v>104</v>
      </c>
      <c r="N110" s="2">
        <v>172</v>
      </c>
      <c r="O110" s="2">
        <f t="shared" ref="O110:Q110" si="1432">_xlfn.RANK.EQ(N110, N$7:N$375,0)</f>
        <v>95</v>
      </c>
      <c r="P110" s="2">
        <v>338</v>
      </c>
      <c r="Q110" s="2">
        <f t="shared" si="1432"/>
        <v>118</v>
      </c>
      <c r="R110" s="4">
        <v>0.50900000000000001</v>
      </c>
      <c r="S110" s="2">
        <f t="shared" ref="S110:U110" si="1433">_xlfn.RANK.EQ(R110, R$7:R$375,0)</f>
        <v>62</v>
      </c>
      <c r="T110" s="2">
        <v>157</v>
      </c>
      <c r="U110" s="2">
        <f t="shared" si="1433"/>
        <v>67</v>
      </c>
      <c r="V110" s="2">
        <v>284</v>
      </c>
      <c r="W110" s="2">
        <f t="shared" ref="W110:Y110" si="1434">_xlfn.RANK.EQ(V110, V$7:V$375,0)</f>
        <v>71</v>
      </c>
      <c r="X110" s="4">
        <v>0.55300000000000005</v>
      </c>
      <c r="Y110" s="2">
        <f t="shared" si="1434"/>
        <v>108</v>
      </c>
      <c r="Z110" s="2">
        <v>15</v>
      </c>
      <c r="AA110" s="2">
        <f t="shared" ref="AA110:AC110" si="1435">_xlfn.RANK.EQ(Z110, Z$7:Z$375,0)</f>
        <v>230</v>
      </c>
      <c r="AB110" s="2">
        <v>54</v>
      </c>
      <c r="AC110" s="2">
        <f t="shared" si="1435"/>
        <v>230</v>
      </c>
      <c r="AD110" s="4">
        <v>0.27800000000000002</v>
      </c>
      <c r="AE110" s="2">
        <f t="shared" ref="AE110:AG110" si="1436">_xlfn.RANK.EQ(AD110, AD$7:AD$375,0)</f>
        <v>246</v>
      </c>
      <c r="AF110" s="2">
        <v>82</v>
      </c>
      <c r="AG110" s="2">
        <f t="shared" si="1436"/>
        <v>82</v>
      </c>
      <c r="AH110" s="2">
        <v>121</v>
      </c>
      <c r="AI110" s="2">
        <f t="shared" ref="AI110:AK110" si="1437">_xlfn.RANK.EQ(AH110, AH$7:AH$375,0)</f>
        <v>79</v>
      </c>
      <c r="AJ110" s="4">
        <v>0.67800000000000005</v>
      </c>
      <c r="AK110" s="2">
        <f t="shared" si="1437"/>
        <v>222</v>
      </c>
      <c r="AL110" s="2">
        <v>71</v>
      </c>
      <c r="AM110" s="2">
        <f t="shared" ref="AM110:AO110" si="1438">_xlfn.RANK.EQ(AL110, AL$7:AL$375,0)</f>
        <v>57</v>
      </c>
      <c r="AN110" s="2">
        <v>159</v>
      </c>
      <c r="AO110" s="2">
        <f t="shared" si="1438"/>
        <v>78</v>
      </c>
      <c r="AP110" s="2">
        <v>230</v>
      </c>
      <c r="AQ110" s="2">
        <f t="shared" ref="AQ110:AS110" si="1439">_xlfn.RANK.EQ(AP110, AP$7:AP$375,0)</f>
        <v>79</v>
      </c>
      <c r="AR110" s="2">
        <v>51</v>
      </c>
      <c r="AS110" s="2">
        <f t="shared" si="1439"/>
        <v>214</v>
      </c>
      <c r="AT110" s="2">
        <v>70</v>
      </c>
      <c r="AU110" s="2">
        <f t="shared" ref="AU110:AW110" si="1440">_xlfn.RANK.EQ(AT110, AT$7:AT$375,0)</f>
        <v>97</v>
      </c>
      <c r="AV110" s="2">
        <v>40</v>
      </c>
      <c r="AW110" s="2">
        <f t="shared" si="1440"/>
        <v>104</v>
      </c>
      <c r="AX110" s="2">
        <v>37</v>
      </c>
      <c r="AY110" s="2">
        <f t="shared" ref="AY110:BA110" si="1441">_xlfn.RANK.EQ(AX110, AX$7:AX$375,0)</f>
        <v>28</v>
      </c>
      <c r="AZ110" s="2">
        <v>10</v>
      </c>
      <c r="BA110" s="2">
        <f t="shared" si="1441"/>
        <v>144</v>
      </c>
      <c r="BB110" s="2">
        <v>135</v>
      </c>
      <c r="BC110" s="2">
        <f t="shared" ref="BC110:BE110" si="1442">_xlfn.RANK.EQ(BB110, BB$7:BB$375,0)</f>
        <v>46</v>
      </c>
      <c r="BD110" s="2">
        <v>124</v>
      </c>
      <c r="BE110" s="2">
        <f t="shared" si="1442"/>
        <v>90</v>
      </c>
      <c r="BF110" s="2">
        <v>500</v>
      </c>
      <c r="BG110" s="2">
        <f t="shared" ref="BG110:BI110" si="1443">_xlfn.RANK.EQ(BF110, BF$7:BF$375,0)</f>
        <v>102</v>
      </c>
      <c r="BH110" s="2">
        <v>-215</v>
      </c>
      <c r="BI110" s="2">
        <f t="shared" si="1443"/>
        <v>343</v>
      </c>
    </row>
    <row r="111" spans="1:61" x14ac:dyDescent="0.55000000000000004">
      <c r="A111" s="2">
        <v>105</v>
      </c>
      <c r="B111" s="2" t="s">
        <v>161</v>
      </c>
      <c r="C111" s="2" t="s">
        <v>40</v>
      </c>
      <c r="D111" s="2">
        <v>55</v>
      </c>
      <c r="E111" s="2">
        <f t="shared" si="897"/>
        <v>139</v>
      </c>
      <c r="F111" s="2">
        <v>50</v>
      </c>
      <c r="G111" s="2">
        <f t="shared" ref="G111:I111" si="1444">_xlfn.RANK.EQ(F111, F$7:F$375,0)</f>
        <v>54</v>
      </c>
      <c r="H111" s="3">
        <v>56.769444444444446</v>
      </c>
      <c r="I111" s="2">
        <f t="shared" si="1444"/>
        <v>75</v>
      </c>
      <c r="J111" s="3">
        <v>1.0319444444444446</v>
      </c>
      <c r="K111" s="2">
        <f t="shared" ref="K111:M111" si="1445">_xlfn.RANK.EQ(J111, J$7:J$375,0)</f>
        <v>82</v>
      </c>
      <c r="L111" s="2">
        <v>439</v>
      </c>
      <c r="M111" s="2">
        <f t="shared" si="1445"/>
        <v>105</v>
      </c>
      <c r="N111" s="2">
        <v>153</v>
      </c>
      <c r="O111" s="2">
        <f t="shared" ref="O111:Q111" si="1446">_xlfn.RANK.EQ(N111, N$7:N$375,0)</f>
        <v>108</v>
      </c>
      <c r="P111" s="2">
        <v>419</v>
      </c>
      <c r="Q111" s="2">
        <f t="shared" si="1446"/>
        <v>91</v>
      </c>
      <c r="R111" s="4">
        <v>0.36499999999999999</v>
      </c>
      <c r="S111" s="2">
        <f t="shared" ref="S111:U111" si="1447">_xlfn.RANK.EQ(R111, R$7:R$375,0)</f>
        <v>254</v>
      </c>
      <c r="T111" s="2">
        <v>57</v>
      </c>
      <c r="U111" s="2">
        <f t="shared" si="1447"/>
        <v>159</v>
      </c>
      <c r="V111" s="2">
        <v>126</v>
      </c>
      <c r="W111" s="2">
        <f t="shared" ref="W111:Y111" si="1448">_xlfn.RANK.EQ(V111, V$7:V$375,0)</f>
        <v>155</v>
      </c>
      <c r="X111" s="4">
        <v>0.45200000000000001</v>
      </c>
      <c r="Y111" s="2">
        <f t="shared" si="1448"/>
        <v>239</v>
      </c>
      <c r="Z111" s="2">
        <v>96</v>
      </c>
      <c r="AA111" s="2">
        <f t="shared" ref="AA111:AC111" si="1449">_xlfn.RANK.EQ(Z111, Z$7:Z$375,0)</f>
        <v>38</v>
      </c>
      <c r="AB111" s="2">
        <v>293</v>
      </c>
      <c r="AC111" s="2">
        <f t="shared" si="1449"/>
        <v>32</v>
      </c>
      <c r="AD111" s="4">
        <v>0.32800000000000001</v>
      </c>
      <c r="AE111" s="2">
        <f t="shared" ref="AE111:AG111" si="1450">_xlfn.RANK.EQ(AD111, AD$7:AD$375,0)</f>
        <v>164</v>
      </c>
      <c r="AF111" s="2">
        <v>37</v>
      </c>
      <c r="AG111" s="2">
        <f t="shared" si="1450"/>
        <v>150</v>
      </c>
      <c r="AH111" s="2">
        <v>53</v>
      </c>
      <c r="AI111" s="2">
        <f t="shared" ref="AI111:AK111" si="1451">_xlfn.RANK.EQ(AH111, AH$7:AH$375,0)</f>
        <v>151</v>
      </c>
      <c r="AJ111" s="4">
        <v>0.69799999999999995</v>
      </c>
      <c r="AK111" s="2">
        <f t="shared" si="1451"/>
        <v>205</v>
      </c>
      <c r="AL111" s="2">
        <v>65</v>
      </c>
      <c r="AM111" s="2">
        <f t="shared" ref="AM111:AO111" si="1452">_xlfn.RANK.EQ(AL111, AL$7:AL$375,0)</f>
        <v>69</v>
      </c>
      <c r="AN111" s="2">
        <v>93</v>
      </c>
      <c r="AO111" s="2">
        <f t="shared" si="1452"/>
        <v>117</v>
      </c>
      <c r="AP111" s="2">
        <v>158</v>
      </c>
      <c r="AQ111" s="2">
        <f t="shared" ref="AQ111:AS111" si="1453">_xlfn.RANK.EQ(AP111, AP$7:AP$375,0)</f>
        <v>94</v>
      </c>
      <c r="AR111" s="2">
        <v>48</v>
      </c>
      <c r="AS111" s="2">
        <f t="shared" si="1453"/>
        <v>223</v>
      </c>
      <c r="AT111" s="2">
        <v>48</v>
      </c>
      <c r="AU111" s="2">
        <f t="shared" ref="AU111:AW111" si="1454">_xlfn.RANK.EQ(AT111, AT$7:AT$375,0)</f>
        <v>148</v>
      </c>
      <c r="AV111" s="2">
        <v>44</v>
      </c>
      <c r="AW111" s="2">
        <f t="shared" si="1454"/>
        <v>87</v>
      </c>
      <c r="AX111" s="2">
        <v>20</v>
      </c>
      <c r="AY111" s="2">
        <f t="shared" ref="AY111:BA111" si="1455">_xlfn.RANK.EQ(AX111, AX$7:AX$375,0)</f>
        <v>65</v>
      </c>
      <c r="AZ111" s="2">
        <v>20</v>
      </c>
      <c r="BA111" s="2">
        <f t="shared" si="1455"/>
        <v>46</v>
      </c>
      <c r="BB111" s="2">
        <v>131</v>
      </c>
      <c r="BC111" s="2">
        <f t="shared" ref="BC111:BE111" si="1456">_xlfn.RANK.EQ(BB111, BB$7:BB$375,0)</f>
        <v>54</v>
      </c>
      <c r="BD111" s="2">
        <v>57</v>
      </c>
      <c r="BE111" s="2">
        <f t="shared" si="1456"/>
        <v>162</v>
      </c>
      <c r="BF111" s="2">
        <v>285</v>
      </c>
      <c r="BG111" s="2">
        <f t="shared" ref="BG111:BI111" si="1457">_xlfn.RANK.EQ(BF111, BF$7:BF$375,0)</f>
        <v>153</v>
      </c>
      <c r="BH111" s="2">
        <v>147</v>
      </c>
      <c r="BI111" s="2">
        <f t="shared" si="1457"/>
        <v>66</v>
      </c>
    </row>
    <row r="112" spans="1:61" x14ac:dyDescent="0.55000000000000004">
      <c r="A112" s="2">
        <v>106</v>
      </c>
      <c r="B112" s="2" t="s">
        <v>162</v>
      </c>
      <c r="C112" s="2" t="s">
        <v>67</v>
      </c>
      <c r="D112" s="2">
        <v>60</v>
      </c>
      <c r="E112" s="2">
        <f t="shared" si="897"/>
        <v>1</v>
      </c>
      <c r="F112" s="2">
        <v>39</v>
      </c>
      <c r="G112" s="2">
        <f t="shared" ref="G112:I112" si="1458">_xlfn.RANK.EQ(F112, F$7:F$375,0)</f>
        <v>86</v>
      </c>
      <c r="H112" s="3">
        <v>58.242361111111109</v>
      </c>
      <c r="I112" s="2">
        <f t="shared" si="1458"/>
        <v>69</v>
      </c>
      <c r="J112" s="5">
        <v>0.97013888888888888</v>
      </c>
      <c r="K112" s="2">
        <f t="shared" ref="K112:M112" si="1459">_xlfn.RANK.EQ(J112, J$7:J$375,0)</f>
        <v>101</v>
      </c>
      <c r="L112" s="2">
        <v>438</v>
      </c>
      <c r="M112" s="2">
        <f t="shared" si="1459"/>
        <v>106</v>
      </c>
      <c r="N112" s="2">
        <v>153</v>
      </c>
      <c r="O112" s="2">
        <f t="shared" ref="O112:Q112" si="1460">_xlfn.RANK.EQ(N112, N$7:N$375,0)</f>
        <v>108</v>
      </c>
      <c r="P112" s="2">
        <v>377</v>
      </c>
      <c r="Q112" s="2">
        <f t="shared" si="1460"/>
        <v>101</v>
      </c>
      <c r="R112" s="4">
        <v>0.40600000000000003</v>
      </c>
      <c r="S112" s="2">
        <f t="shared" ref="S112:U112" si="1461">_xlfn.RANK.EQ(R112, R$7:R$375,0)</f>
        <v>187</v>
      </c>
      <c r="T112" s="2">
        <v>31</v>
      </c>
      <c r="U112" s="2">
        <f t="shared" si="1461"/>
        <v>227</v>
      </c>
      <c r="V112" s="2">
        <v>63</v>
      </c>
      <c r="W112" s="2">
        <f t="shared" ref="W112:Y112" si="1462">_xlfn.RANK.EQ(V112, V$7:V$375,0)</f>
        <v>228</v>
      </c>
      <c r="X112" s="4">
        <v>0.49199999999999999</v>
      </c>
      <c r="Y112" s="2">
        <f t="shared" si="1462"/>
        <v>192</v>
      </c>
      <c r="Z112" s="2">
        <v>122</v>
      </c>
      <c r="AA112" s="2">
        <f t="shared" ref="AA112:AC112" si="1463">_xlfn.RANK.EQ(Z112, Z$7:Z$375,0)</f>
        <v>17</v>
      </c>
      <c r="AB112" s="2">
        <v>314</v>
      </c>
      <c r="AC112" s="2">
        <f t="shared" si="1463"/>
        <v>25</v>
      </c>
      <c r="AD112" s="4">
        <v>0.38900000000000001</v>
      </c>
      <c r="AE112" s="2">
        <f t="shared" ref="AE112:AG112" si="1464">_xlfn.RANK.EQ(AD112, AD$7:AD$375,0)</f>
        <v>52</v>
      </c>
      <c r="AF112" s="2">
        <v>10</v>
      </c>
      <c r="AG112" s="2">
        <f t="shared" si="1464"/>
        <v>271</v>
      </c>
      <c r="AH112" s="2">
        <v>12</v>
      </c>
      <c r="AI112" s="2">
        <f t="shared" ref="AI112:AK112" si="1465">_xlfn.RANK.EQ(AH112, AH$7:AH$375,0)</f>
        <v>283</v>
      </c>
      <c r="AJ112" s="4">
        <v>0.83299999999999996</v>
      </c>
      <c r="AK112" s="2">
        <f t="shared" si="1465"/>
        <v>50</v>
      </c>
      <c r="AL112" s="2">
        <v>29</v>
      </c>
      <c r="AM112" s="2">
        <f t="shared" ref="AM112:AO112" si="1466">_xlfn.RANK.EQ(AL112, AL$7:AL$375,0)</f>
        <v>156</v>
      </c>
      <c r="AN112" s="2">
        <v>84</v>
      </c>
      <c r="AO112" s="2">
        <f t="shared" si="1466"/>
        <v>134</v>
      </c>
      <c r="AP112" s="2">
        <v>113</v>
      </c>
      <c r="AQ112" s="2">
        <f t="shared" ref="AQ112:AS112" si="1467">_xlfn.RANK.EQ(AP112, AP$7:AP$375,0)</f>
        <v>138</v>
      </c>
      <c r="AR112" s="2">
        <v>68</v>
      </c>
      <c r="AS112" s="2">
        <f t="shared" si="1467"/>
        <v>180</v>
      </c>
      <c r="AT112" s="2">
        <v>30</v>
      </c>
      <c r="AU112" s="2">
        <f t="shared" ref="AU112:AW112" si="1468">_xlfn.RANK.EQ(AT112, AT$7:AT$375,0)</f>
        <v>210</v>
      </c>
      <c r="AV112" s="2">
        <v>30</v>
      </c>
      <c r="AW112" s="2">
        <f t="shared" si="1468"/>
        <v>145</v>
      </c>
      <c r="AX112" s="2">
        <v>3</v>
      </c>
      <c r="AY112" s="2">
        <f t="shared" ref="AY112:BA112" si="1469">_xlfn.RANK.EQ(AX112, AX$7:AX$375,0)</f>
        <v>208</v>
      </c>
      <c r="AZ112" s="2">
        <v>2</v>
      </c>
      <c r="BA112" s="2">
        <f t="shared" si="1469"/>
        <v>285</v>
      </c>
      <c r="BB112" s="2">
        <v>114</v>
      </c>
      <c r="BC112" s="2">
        <f t="shared" ref="BC112:BE112" si="1470">_xlfn.RANK.EQ(BB112, BB$7:BB$375,0)</f>
        <v>97</v>
      </c>
      <c r="BD112" s="2">
        <v>18</v>
      </c>
      <c r="BE112" s="2">
        <f t="shared" si="1470"/>
        <v>273</v>
      </c>
      <c r="BF112" s="2">
        <v>298</v>
      </c>
      <c r="BG112" s="2">
        <f t="shared" ref="BG112:BI112" si="1471">_xlfn.RANK.EQ(BF112, BF$7:BF$375,0)</f>
        <v>145</v>
      </c>
      <c r="BH112" s="2">
        <v>311</v>
      </c>
      <c r="BI112" s="2">
        <f t="shared" si="1471"/>
        <v>22</v>
      </c>
    </row>
    <row r="113" spans="1:61" x14ac:dyDescent="0.55000000000000004">
      <c r="A113" s="2">
        <v>107</v>
      </c>
      <c r="B113" s="2" t="s">
        <v>163</v>
      </c>
      <c r="C113" s="2" t="s">
        <v>38</v>
      </c>
      <c r="D113" s="2">
        <v>44</v>
      </c>
      <c r="E113" s="2">
        <f t="shared" si="897"/>
        <v>224</v>
      </c>
      <c r="F113" s="2">
        <v>5</v>
      </c>
      <c r="G113" s="2">
        <f t="shared" ref="G113:I113" si="1472">_xlfn.RANK.EQ(F113, F$7:F$375,0)</f>
        <v>238</v>
      </c>
      <c r="H113" s="3">
        <v>34.188194444444441</v>
      </c>
      <c r="I113" s="2">
        <f t="shared" si="1472"/>
        <v>178</v>
      </c>
      <c r="J113" s="5">
        <v>0.77638888888888891</v>
      </c>
      <c r="K113" s="2">
        <f t="shared" ref="K113:M113" si="1473">_xlfn.RANK.EQ(J113, J$7:J$375,0)</f>
        <v>171</v>
      </c>
      <c r="L113" s="2">
        <v>436</v>
      </c>
      <c r="M113" s="2">
        <f t="shared" si="1473"/>
        <v>107</v>
      </c>
      <c r="N113" s="2">
        <v>169</v>
      </c>
      <c r="O113" s="2">
        <f t="shared" ref="O113:Q113" si="1474">_xlfn.RANK.EQ(N113, N$7:N$375,0)</f>
        <v>97</v>
      </c>
      <c r="P113" s="2">
        <v>317</v>
      </c>
      <c r="Q113" s="2">
        <f t="shared" si="1474"/>
        <v>132</v>
      </c>
      <c r="R113" s="4">
        <v>0.53300000000000003</v>
      </c>
      <c r="S113" s="2">
        <f t="shared" ref="S113:U113" si="1475">_xlfn.RANK.EQ(R113, R$7:R$375,0)</f>
        <v>46</v>
      </c>
      <c r="T113" s="2">
        <v>166</v>
      </c>
      <c r="U113" s="2">
        <f t="shared" si="1475"/>
        <v>64</v>
      </c>
      <c r="V113" s="2">
        <v>291</v>
      </c>
      <c r="W113" s="2">
        <f t="shared" ref="W113:Y113" si="1476">_xlfn.RANK.EQ(V113, V$7:V$375,0)</f>
        <v>66</v>
      </c>
      <c r="X113" s="4">
        <v>0.56999999999999995</v>
      </c>
      <c r="Y113" s="2">
        <f t="shared" si="1476"/>
        <v>81</v>
      </c>
      <c r="Z113" s="2">
        <v>3</v>
      </c>
      <c r="AA113" s="2">
        <f t="shared" ref="AA113:AC113" si="1477">_xlfn.RANK.EQ(Z113, Z$7:Z$375,0)</f>
        <v>293</v>
      </c>
      <c r="AB113" s="2">
        <v>26</v>
      </c>
      <c r="AC113" s="2">
        <f t="shared" si="1477"/>
        <v>278</v>
      </c>
      <c r="AD113" s="4">
        <v>0.115</v>
      </c>
      <c r="AE113" s="2">
        <f t="shared" ref="AE113:AG113" si="1478">_xlfn.RANK.EQ(AD113, AD$7:AD$375,0)</f>
        <v>323</v>
      </c>
      <c r="AF113" s="2">
        <v>95</v>
      </c>
      <c r="AG113" s="2">
        <f t="shared" si="1478"/>
        <v>70</v>
      </c>
      <c r="AH113" s="2">
        <v>143</v>
      </c>
      <c r="AI113" s="2">
        <f t="shared" ref="AI113:AK113" si="1479">_xlfn.RANK.EQ(AH113, AH$7:AH$375,0)</f>
        <v>65</v>
      </c>
      <c r="AJ113" s="4">
        <v>0.66400000000000003</v>
      </c>
      <c r="AK113" s="2">
        <f t="shared" si="1479"/>
        <v>237</v>
      </c>
      <c r="AL113" s="2">
        <v>62</v>
      </c>
      <c r="AM113" s="2">
        <f t="shared" ref="AM113:AO113" si="1480">_xlfn.RANK.EQ(AL113, AL$7:AL$375,0)</f>
        <v>72</v>
      </c>
      <c r="AN113" s="2">
        <v>157</v>
      </c>
      <c r="AO113" s="2">
        <f t="shared" si="1480"/>
        <v>80</v>
      </c>
      <c r="AP113" s="2">
        <v>219</v>
      </c>
      <c r="AQ113" s="2">
        <f t="shared" ref="AQ113:AS113" si="1481">_xlfn.RANK.EQ(AP113, AP$7:AP$375,0)</f>
        <v>81</v>
      </c>
      <c r="AR113" s="2">
        <v>81</v>
      </c>
      <c r="AS113" s="2">
        <f t="shared" si="1481"/>
        <v>164</v>
      </c>
      <c r="AT113" s="2">
        <v>54</v>
      </c>
      <c r="AU113" s="2">
        <f t="shared" ref="AU113:AW113" si="1482">_xlfn.RANK.EQ(AT113, AT$7:AT$375,0)</f>
        <v>137</v>
      </c>
      <c r="AV113" s="2">
        <v>51</v>
      </c>
      <c r="AW113" s="2">
        <f t="shared" si="1482"/>
        <v>56</v>
      </c>
      <c r="AX113" s="2">
        <v>18</v>
      </c>
      <c r="AY113" s="2">
        <f t="shared" ref="AY113:BA113" si="1483">_xlfn.RANK.EQ(AX113, AX$7:AX$375,0)</f>
        <v>70</v>
      </c>
      <c r="AZ113" s="2">
        <v>18</v>
      </c>
      <c r="BA113" s="2">
        <f t="shared" si="1483"/>
        <v>61</v>
      </c>
      <c r="BB113" s="2">
        <v>134</v>
      </c>
      <c r="BC113" s="2">
        <f t="shared" ref="BC113:BE113" si="1484">_xlfn.RANK.EQ(BB113, BB$7:BB$375,0)</f>
        <v>47</v>
      </c>
      <c r="BD113" s="2">
        <v>124</v>
      </c>
      <c r="BE113" s="2">
        <f t="shared" si="1484"/>
        <v>90</v>
      </c>
      <c r="BF113" s="2">
        <v>526</v>
      </c>
      <c r="BG113" s="2">
        <f t="shared" ref="BG113:BI113" si="1485">_xlfn.RANK.EQ(BF113, BF$7:BF$375,0)</f>
        <v>100</v>
      </c>
      <c r="BH113" s="2">
        <v>24</v>
      </c>
      <c r="BI113" s="2">
        <f t="shared" si="1485"/>
        <v>115</v>
      </c>
    </row>
    <row r="114" spans="1:61" x14ac:dyDescent="0.55000000000000004">
      <c r="A114" s="2">
        <v>108</v>
      </c>
      <c r="B114" s="2" t="s">
        <v>164</v>
      </c>
      <c r="C114" s="2" t="s">
        <v>91</v>
      </c>
      <c r="D114" s="2">
        <v>56</v>
      </c>
      <c r="E114" s="2">
        <f t="shared" si="897"/>
        <v>124</v>
      </c>
      <c r="F114" s="2">
        <v>35</v>
      </c>
      <c r="G114" s="2">
        <f t="shared" ref="G114:I114" si="1486">_xlfn.RANK.EQ(F114, F$7:F$375,0)</f>
        <v>101</v>
      </c>
      <c r="H114" s="3">
        <v>49.55972222222222</v>
      </c>
      <c r="I114" s="2">
        <f t="shared" si="1486"/>
        <v>111</v>
      </c>
      <c r="J114" s="5">
        <v>0.88472222222222219</v>
      </c>
      <c r="K114" s="2">
        <f t="shared" ref="K114:M114" si="1487">_xlfn.RANK.EQ(J114, J$7:J$375,0)</f>
        <v>138</v>
      </c>
      <c r="L114" s="2">
        <v>434</v>
      </c>
      <c r="M114" s="2">
        <f t="shared" si="1487"/>
        <v>108</v>
      </c>
      <c r="N114" s="2">
        <v>166</v>
      </c>
      <c r="O114" s="2">
        <f t="shared" ref="O114:Q114" si="1488">_xlfn.RANK.EQ(N114, N$7:N$375,0)</f>
        <v>100</v>
      </c>
      <c r="P114" s="2">
        <v>451</v>
      </c>
      <c r="Q114" s="2">
        <f t="shared" si="1488"/>
        <v>78</v>
      </c>
      <c r="R114" s="4">
        <v>0.36799999999999999</v>
      </c>
      <c r="S114" s="2">
        <f t="shared" ref="S114:U114" si="1489">_xlfn.RANK.EQ(R114, R$7:R$375,0)</f>
        <v>247</v>
      </c>
      <c r="T114" s="2">
        <v>127</v>
      </c>
      <c r="U114" s="2">
        <f t="shared" si="1489"/>
        <v>88</v>
      </c>
      <c r="V114" s="2">
        <v>293</v>
      </c>
      <c r="W114" s="2">
        <f t="shared" ref="W114:Y114" si="1490">_xlfn.RANK.EQ(V114, V$7:V$375,0)</f>
        <v>65</v>
      </c>
      <c r="X114" s="4">
        <v>0.433</v>
      </c>
      <c r="Y114" s="2">
        <f t="shared" si="1490"/>
        <v>267</v>
      </c>
      <c r="Z114" s="2">
        <v>39</v>
      </c>
      <c r="AA114" s="2">
        <f t="shared" ref="AA114:AC114" si="1491">_xlfn.RANK.EQ(Z114, Z$7:Z$375,0)</f>
        <v>147</v>
      </c>
      <c r="AB114" s="2">
        <v>158</v>
      </c>
      <c r="AC114" s="2">
        <f t="shared" si="1491"/>
        <v>115</v>
      </c>
      <c r="AD114" s="4">
        <v>0.247</v>
      </c>
      <c r="AE114" s="2">
        <f t="shared" ref="AE114:AG114" si="1492">_xlfn.RANK.EQ(AD114, AD$7:AD$375,0)</f>
        <v>273</v>
      </c>
      <c r="AF114" s="2">
        <v>63</v>
      </c>
      <c r="AG114" s="2">
        <f t="shared" si="1492"/>
        <v>106</v>
      </c>
      <c r="AH114" s="2">
        <v>78</v>
      </c>
      <c r="AI114" s="2">
        <f t="shared" ref="AI114:AK114" si="1493">_xlfn.RANK.EQ(AH114, AH$7:AH$375,0)</f>
        <v>118</v>
      </c>
      <c r="AJ114" s="4">
        <v>0.80800000000000005</v>
      </c>
      <c r="AK114" s="2">
        <f t="shared" si="1493"/>
        <v>77</v>
      </c>
      <c r="AL114" s="2">
        <v>22</v>
      </c>
      <c r="AM114" s="2">
        <f t="shared" ref="AM114:AO114" si="1494">_xlfn.RANK.EQ(AL114, AL$7:AL$375,0)</f>
        <v>188</v>
      </c>
      <c r="AN114" s="2">
        <v>91</v>
      </c>
      <c r="AO114" s="2">
        <f t="shared" si="1494"/>
        <v>120</v>
      </c>
      <c r="AP114" s="2">
        <v>113</v>
      </c>
      <c r="AQ114" s="2">
        <f t="shared" ref="AQ114:AS114" si="1495">_xlfn.RANK.EQ(AP114, AP$7:AP$375,0)</f>
        <v>138</v>
      </c>
      <c r="AR114" s="2">
        <v>275</v>
      </c>
      <c r="AS114" s="2">
        <f t="shared" si="1495"/>
        <v>11</v>
      </c>
      <c r="AT114" s="2">
        <v>111</v>
      </c>
      <c r="AU114" s="2">
        <f t="shared" ref="AU114:AW114" si="1496">_xlfn.RANK.EQ(AT114, AT$7:AT$375,0)</f>
        <v>32</v>
      </c>
      <c r="AV114" s="2">
        <v>35</v>
      </c>
      <c r="AW114" s="2">
        <f t="shared" si="1496"/>
        <v>126</v>
      </c>
      <c r="AX114" s="2">
        <v>3</v>
      </c>
      <c r="AY114" s="2">
        <f t="shared" ref="AY114:BA114" si="1497">_xlfn.RANK.EQ(AX114, AX$7:AX$375,0)</f>
        <v>208</v>
      </c>
      <c r="AZ114" s="2">
        <v>14</v>
      </c>
      <c r="BA114" s="2">
        <f t="shared" si="1497"/>
        <v>104</v>
      </c>
      <c r="BB114" s="2">
        <v>106</v>
      </c>
      <c r="BC114" s="2">
        <f t="shared" ref="BC114:BE114" si="1498">_xlfn.RANK.EQ(BB114, BB$7:BB$375,0)</f>
        <v>120</v>
      </c>
      <c r="BD114" s="2">
        <v>107</v>
      </c>
      <c r="BE114" s="2">
        <f t="shared" si="1498"/>
        <v>104</v>
      </c>
      <c r="BF114" s="2">
        <v>436</v>
      </c>
      <c r="BG114" s="2">
        <f t="shared" ref="BG114:BI114" si="1499">_xlfn.RANK.EQ(BF114, BF$7:BF$375,0)</f>
        <v>113</v>
      </c>
      <c r="BH114" s="2">
        <v>-65</v>
      </c>
      <c r="BI114" s="2">
        <f t="shared" si="1499"/>
        <v>255</v>
      </c>
    </row>
    <row r="115" spans="1:61" x14ac:dyDescent="0.55000000000000004">
      <c r="A115" s="2">
        <v>108</v>
      </c>
      <c r="B115" s="2" t="s">
        <v>165</v>
      </c>
      <c r="C115" s="2" t="s">
        <v>84</v>
      </c>
      <c r="D115" s="2">
        <v>38</v>
      </c>
      <c r="E115" s="2">
        <f t="shared" si="897"/>
        <v>253</v>
      </c>
      <c r="F115" s="2">
        <v>20</v>
      </c>
      <c r="G115" s="2">
        <f t="shared" ref="G115:I115" si="1500">_xlfn.RANK.EQ(F115, F$7:F$375,0)</f>
        <v>153</v>
      </c>
      <c r="H115" s="3">
        <v>38.102083333333333</v>
      </c>
      <c r="I115" s="2">
        <f t="shared" si="1500"/>
        <v>160</v>
      </c>
      <c r="J115" s="3">
        <v>1.0020833333333334</v>
      </c>
      <c r="K115" s="2">
        <f t="shared" ref="K115:M115" si="1501">_xlfn.RANK.EQ(J115, J$7:J$375,0)</f>
        <v>93</v>
      </c>
      <c r="L115" s="2">
        <v>434</v>
      </c>
      <c r="M115" s="2">
        <f t="shared" si="1501"/>
        <v>108</v>
      </c>
      <c r="N115" s="2">
        <v>165</v>
      </c>
      <c r="O115" s="2">
        <f t="shared" ref="O115:Q115" si="1502">_xlfn.RANK.EQ(N115, N$7:N$375,0)</f>
        <v>102</v>
      </c>
      <c r="P115" s="2">
        <v>383</v>
      </c>
      <c r="Q115" s="2">
        <f t="shared" si="1502"/>
        <v>100</v>
      </c>
      <c r="R115" s="4">
        <v>0.43099999999999999</v>
      </c>
      <c r="S115" s="2">
        <f t="shared" ref="S115:U115" si="1503">_xlfn.RANK.EQ(R115, R$7:R$375,0)</f>
        <v>145</v>
      </c>
      <c r="T115" s="2">
        <v>131</v>
      </c>
      <c r="U115" s="2">
        <f t="shared" si="1503"/>
        <v>82</v>
      </c>
      <c r="V115" s="2">
        <v>277</v>
      </c>
      <c r="W115" s="2">
        <f t="shared" ref="W115:Y115" si="1504">_xlfn.RANK.EQ(V115, V$7:V$375,0)</f>
        <v>74</v>
      </c>
      <c r="X115" s="4">
        <v>0.47299999999999998</v>
      </c>
      <c r="Y115" s="2">
        <f t="shared" si="1504"/>
        <v>217</v>
      </c>
      <c r="Z115" s="2">
        <v>34</v>
      </c>
      <c r="AA115" s="2">
        <f t="shared" ref="AA115:AC115" si="1505">_xlfn.RANK.EQ(Z115, Z$7:Z$375,0)</f>
        <v>159</v>
      </c>
      <c r="AB115" s="2">
        <v>106</v>
      </c>
      <c r="AC115" s="2">
        <f t="shared" si="1505"/>
        <v>161</v>
      </c>
      <c r="AD115" s="4">
        <v>0.32100000000000001</v>
      </c>
      <c r="AE115" s="2">
        <f t="shared" ref="AE115:AG115" si="1506">_xlfn.RANK.EQ(AD115, AD$7:AD$375,0)</f>
        <v>179</v>
      </c>
      <c r="AF115" s="2">
        <v>70</v>
      </c>
      <c r="AG115" s="2">
        <f t="shared" si="1506"/>
        <v>98</v>
      </c>
      <c r="AH115" s="2">
        <v>103</v>
      </c>
      <c r="AI115" s="2">
        <f t="shared" ref="AI115:AK115" si="1507">_xlfn.RANK.EQ(AH115, AH$7:AH$375,0)</f>
        <v>92</v>
      </c>
      <c r="AJ115" s="4">
        <v>0.68</v>
      </c>
      <c r="AK115" s="2">
        <f t="shared" si="1507"/>
        <v>218</v>
      </c>
      <c r="AL115" s="2">
        <v>59</v>
      </c>
      <c r="AM115" s="2">
        <f t="shared" ref="AM115:AO115" si="1508">_xlfn.RANK.EQ(AL115, AL$7:AL$375,0)</f>
        <v>75</v>
      </c>
      <c r="AN115" s="2">
        <v>176</v>
      </c>
      <c r="AO115" s="2">
        <f t="shared" si="1508"/>
        <v>72</v>
      </c>
      <c r="AP115" s="2">
        <v>235</v>
      </c>
      <c r="AQ115" s="2">
        <f t="shared" ref="AQ115:AS115" si="1509">_xlfn.RANK.EQ(AP115, AP$7:AP$375,0)</f>
        <v>77</v>
      </c>
      <c r="AR115" s="2">
        <v>75</v>
      </c>
      <c r="AS115" s="2">
        <f t="shared" si="1509"/>
        <v>170</v>
      </c>
      <c r="AT115" s="2">
        <v>64</v>
      </c>
      <c r="AU115" s="2">
        <f t="shared" ref="AU115:AW115" si="1510">_xlfn.RANK.EQ(AT115, AT$7:AT$375,0)</f>
        <v>114</v>
      </c>
      <c r="AV115" s="2">
        <v>24</v>
      </c>
      <c r="AW115" s="2">
        <f t="shared" si="1510"/>
        <v>180</v>
      </c>
      <c r="AX115" s="2">
        <v>13</v>
      </c>
      <c r="AY115" s="2">
        <f t="shared" ref="AY115:BA115" si="1511">_xlfn.RANK.EQ(AX115, AX$7:AX$375,0)</f>
        <v>86</v>
      </c>
      <c r="AZ115" s="2">
        <v>19</v>
      </c>
      <c r="BA115" s="2">
        <f t="shared" si="1511"/>
        <v>52</v>
      </c>
      <c r="BB115" s="2">
        <v>98</v>
      </c>
      <c r="BC115" s="2">
        <f t="shared" ref="BC115:BE115" si="1512">_xlfn.RANK.EQ(BB115, BB$7:BB$375,0)</f>
        <v>144</v>
      </c>
      <c r="BD115" s="2">
        <v>92</v>
      </c>
      <c r="BE115" s="2">
        <f t="shared" si="1512"/>
        <v>120</v>
      </c>
      <c r="BF115" s="2">
        <v>441</v>
      </c>
      <c r="BG115" s="2">
        <f t="shared" ref="BG115:BI115" si="1513">_xlfn.RANK.EQ(BF115, BF$7:BF$375,0)</f>
        <v>112</v>
      </c>
      <c r="BH115" s="2">
        <v>-98</v>
      </c>
      <c r="BI115" s="2">
        <f t="shared" si="1513"/>
        <v>277</v>
      </c>
    </row>
    <row r="116" spans="1:61" x14ac:dyDescent="0.55000000000000004">
      <c r="A116" s="2">
        <v>110</v>
      </c>
      <c r="B116" s="2" t="s">
        <v>166</v>
      </c>
      <c r="C116" s="2" t="s">
        <v>72</v>
      </c>
      <c r="D116" s="2">
        <v>28</v>
      </c>
      <c r="E116" s="2">
        <f t="shared" si="897"/>
        <v>289</v>
      </c>
      <c r="F116" s="2">
        <v>12</v>
      </c>
      <c r="G116" s="2">
        <f t="shared" ref="G116:I116" si="1514">_xlfn.RANK.EQ(F116, F$7:F$375,0)</f>
        <v>192</v>
      </c>
      <c r="H116" s="3">
        <v>29.034027777777776</v>
      </c>
      <c r="I116" s="2">
        <f t="shared" si="1514"/>
        <v>209</v>
      </c>
      <c r="J116" s="3">
        <v>1.0368055555555555</v>
      </c>
      <c r="K116" s="2">
        <f t="shared" ref="K116:M116" si="1515">_xlfn.RANK.EQ(J116, J$7:J$375,0)</f>
        <v>80</v>
      </c>
      <c r="L116" s="2">
        <v>433</v>
      </c>
      <c r="M116" s="2">
        <f t="shared" si="1515"/>
        <v>110</v>
      </c>
      <c r="N116" s="2">
        <v>147</v>
      </c>
      <c r="O116" s="2">
        <f t="shared" ref="O116:Q116" si="1516">_xlfn.RANK.EQ(N116, N$7:N$375,0)</f>
        <v>118</v>
      </c>
      <c r="P116" s="2">
        <v>268</v>
      </c>
      <c r="Q116" s="2">
        <f t="shared" si="1516"/>
        <v>151</v>
      </c>
      <c r="R116" s="4">
        <v>0.54900000000000004</v>
      </c>
      <c r="S116" s="2">
        <f t="shared" ref="S116:U116" si="1517">_xlfn.RANK.EQ(R116, R$7:R$375,0)</f>
        <v>40</v>
      </c>
      <c r="T116" s="2">
        <v>129</v>
      </c>
      <c r="U116" s="2">
        <f t="shared" si="1517"/>
        <v>87</v>
      </c>
      <c r="V116" s="2">
        <v>217</v>
      </c>
      <c r="W116" s="2">
        <f t="shared" ref="W116:Y116" si="1518">_xlfn.RANK.EQ(V116, V$7:V$375,0)</f>
        <v>99</v>
      </c>
      <c r="X116" s="4">
        <v>0.59399999999999997</v>
      </c>
      <c r="Y116" s="2">
        <f t="shared" si="1518"/>
        <v>57</v>
      </c>
      <c r="Z116" s="2">
        <v>18</v>
      </c>
      <c r="AA116" s="2">
        <f t="shared" ref="AA116:AC116" si="1519">_xlfn.RANK.EQ(Z116, Z$7:Z$375,0)</f>
        <v>217</v>
      </c>
      <c r="AB116" s="2">
        <v>51</v>
      </c>
      <c r="AC116" s="2">
        <f t="shared" si="1519"/>
        <v>236</v>
      </c>
      <c r="AD116" s="4">
        <v>0.35299999999999998</v>
      </c>
      <c r="AE116" s="2">
        <f t="shared" ref="AE116:AG116" si="1520">_xlfn.RANK.EQ(AD116, AD$7:AD$375,0)</f>
        <v>113</v>
      </c>
      <c r="AF116" s="2">
        <v>121</v>
      </c>
      <c r="AG116" s="2">
        <f t="shared" si="1520"/>
        <v>54</v>
      </c>
      <c r="AH116" s="2">
        <v>164</v>
      </c>
      <c r="AI116" s="2">
        <f t="shared" ref="AI116:AK116" si="1521">_xlfn.RANK.EQ(AH116, AH$7:AH$375,0)</f>
        <v>57</v>
      </c>
      <c r="AJ116" s="4">
        <v>0.73799999999999999</v>
      </c>
      <c r="AK116" s="2">
        <f t="shared" si="1521"/>
        <v>167</v>
      </c>
      <c r="AL116" s="2">
        <v>46</v>
      </c>
      <c r="AM116" s="2">
        <f t="shared" ref="AM116:AO116" si="1522">_xlfn.RANK.EQ(AL116, AL$7:AL$375,0)</f>
        <v>100</v>
      </c>
      <c r="AN116" s="2">
        <v>115</v>
      </c>
      <c r="AO116" s="2">
        <f t="shared" si="1522"/>
        <v>98</v>
      </c>
      <c r="AP116" s="2">
        <v>161</v>
      </c>
      <c r="AQ116" s="2">
        <f t="shared" ref="AQ116:AS116" si="1523">_xlfn.RANK.EQ(AP116, AP$7:AP$375,0)</f>
        <v>93</v>
      </c>
      <c r="AR116" s="2">
        <v>109</v>
      </c>
      <c r="AS116" s="2">
        <f t="shared" si="1523"/>
        <v>115</v>
      </c>
      <c r="AT116" s="2">
        <v>38</v>
      </c>
      <c r="AU116" s="2">
        <f t="shared" ref="AU116:AW116" si="1524">_xlfn.RANK.EQ(AT116, AT$7:AT$375,0)</f>
        <v>182</v>
      </c>
      <c r="AV116" s="2">
        <v>52</v>
      </c>
      <c r="AW116" s="2">
        <f t="shared" si="1524"/>
        <v>51</v>
      </c>
      <c r="AX116" s="2">
        <v>8</v>
      </c>
      <c r="AY116" s="2">
        <f t="shared" ref="AY116:BA116" si="1525">_xlfn.RANK.EQ(AX116, AX$7:AX$375,0)</f>
        <v>125</v>
      </c>
      <c r="AZ116" s="2">
        <v>12</v>
      </c>
      <c r="BA116" s="2">
        <f t="shared" si="1525"/>
        <v>124</v>
      </c>
      <c r="BB116" s="2">
        <v>88</v>
      </c>
      <c r="BC116" s="2">
        <f t="shared" ref="BC116:BE116" si="1526">_xlfn.RANK.EQ(BB116, BB$7:BB$375,0)</f>
        <v>168</v>
      </c>
      <c r="BD116" s="2">
        <v>170</v>
      </c>
      <c r="BE116" s="2">
        <f t="shared" si="1526"/>
        <v>59</v>
      </c>
      <c r="BF116" s="2">
        <v>630</v>
      </c>
      <c r="BG116" s="2">
        <f t="shared" ref="BG116:BI116" si="1527">_xlfn.RANK.EQ(BF116, BF$7:BF$375,0)</f>
        <v>84</v>
      </c>
      <c r="BH116" s="2">
        <v>168</v>
      </c>
      <c r="BI116" s="2">
        <f t="shared" si="1527"/>
        <v>56</v>
      </c>
    </row>
    <row r="117" spans="1:61" x14ac:dyDescent="0.55000000000000004">
      <c r="A117" s="2">
        <v>111</v>
      </c>
      <c r="B117" s="2" t="s">
        <v>167</v>
      </c>
      <c r="C117" s="2" t="s">
        <v>52</v>
      </c>
      <c r="D117" s="2">
        <v>60</v>
      </c>
      <c r="E117" s="2">
        <f t="shared" si="897"/>
        <v>1</v>
      </c>
      <c r="F117" s="2">
        <v>52</v>
      </c>
      <c r="G117" s="2">
        <f t="shared" ref="G117:I117" si="1528">_xlfn.RANK.EQ(F117, F$7:F$375,0)</f>
        <v>41</v>
      </c>
      <c r="H117" s="3">
        <v>54.360416666666666</v>
      </c>
      <c r="I117" s="2">
        <f t="shared" si="1528"/>
        <v>91</v>
      </c>
      <c r="J117" s="5">
        <v>0.90555555555555556</v>
      </c>
      <c r="K117" s="2">
        <f t="shared" ref="K117:M117" si="1529">_xlfn.RANK.EQ(J117, J$7:J$375,0)</f>
        <v>130</v>
      </c>
      <c r="L117" s="2">
        <v>416</v>
      </c>
      <c r="M117" s="2">
        <f t="shared" si="1529"/>
        <v>111</v>
      </c>
      <c r="N117" s="2">
        <v>147</v>
      </c>
      <c r="O117" s="2">
        <f t="shared" ref="O117:Q117" si="1530">_xlfn.RANK.EQ(N117, N$7:N$375,0)</f>
        <v>118</v>
      </c>
      <c r="P117" s="2">
        <v>324</v>
      </c>
      <c r="Q117" s="2">
        <f t="shared" si="1530"/>
        <v>125</v>
      </c>
      <c r="R117" s="4">
        <v>0.45400000000000001</v>
      </c>
      <c r="S117" s="2">
        <f t="shared" ref="S117:U117" si="1531">_xlfn.RANK.EQ(R117, R$7:R$375,0)</f>
        <v>115</v>
      </c>
      <c r="T117" s="2">
        <v>131</v>
      </c>
      <c r="U117" s="2">
        <f t="shared" si="1531"/>
        <v>82</v>
      </c>
      <c r="V117" s="2">
        <v>263</v>
      </c>
      <c r="W117" s="2">
        <f t="shared" ref="W117:Y117" si="1532">_xlfn.RANK.EQ(V117, V$7:V$375,0)</f>
        <v>80</v>
      </c>
      <c r="X117" s="4">
        <v>0.498</v>
      </c>
      <c r="Y117" s="2">
        <f t="shared" si="1532"/>
        <v>186</v>
      </c>
      <c r="Z117" s="2">
        <v>16</v>
      </c>
      <c r="AA117" s="2">
        <f t="shared" ref="AA117:AC117" si="1533">_xlfn.RANK.EQ(Z117, Z$7:Z$375,0)</f>
        <v>222</v>
      </c>
      <c r="AB117" s="2">
        <v>61</v>
      </c>
      <c r="AC117" s="2">
        <f t="shared" si="1533"/>
        <v>217</v>
      </c>
      <c r="AD117" s="4">
        <v>0.26200000000000001</v>
      </c>
      <c r="AE117" s="2">
        <f t="shared" ref="AE117:AG117" si="1534">_xlfn.RANK.EQ(AD117, AD$7:AD$375,0)</f>
        <v>263</v>
      </c>
      <c r="AF117" s="2">
        <v>106</v>
      </c>
      <c r="AG117" s="2">
        <f t="shared" si="1534"/>
        <v>63</v>
      </c>
      <c r="AH117" s="2">
        <v>160</v>
      </c>
      <c r="AI117" s="2">
        <f t="shared" ref="AI117:AK117" si="1535">_xlfn.RANK.EQ(AH117, AH$7:AH$375,0)</f>
        <v>58</v>
      </c>
      <c r="AJ117" s="4">
        <v>0.66300000000000003</v>
      </c>
      <c r="AK117" s="2">
        <f t="shared" si="1535"/>
        <v>238</v>
      </c>
      <c r="AL117" s="2">
        <v>157</v>
      </c>
      <c r="AM117" s="2">
        <f t="shared" ref="AM117:AO117" si="1536">_xlfn.RANK.EQ(AL117, AL$7:AL$375,0)</f>
        <v>14</v>
      </c>
      <c r="AN117" s="2">
        <v>222</v>
      </c>
      <c r="AO117" s="2">
        <f t="shared" si="1536"/>
        <v>61</v>
      </c>
      <c r="AP117" s="2">
        <v>379</v>
      </c>
      <c r="AQ117" s="2">
        <f t="shared" ref="AQ117:AS117" si="1537">_xlfn.RANK.EQ(AP117, AP$7:AP$375,0)</f>
        <v>31</v>
      </c>
      <c r="AR117" s="2">
        <v>60</v>
      </c>
      <c r="AS117" s="2">
        <f t="shared" si="1537"/>
        <v>199</v>
      </c>
      <c r="AT117" s="2">
        <v>92</v>
      </c>
      <c r="AU117" s="2">
        <f t="shared" ref="AU117:AW117" si="1538">_xlfn.RANK.EQ(AT117, AT$7:AT$375,0)</f>
        <v>59</v>
      </c>
      <c r="AV117" s="2">
        <v>56</v>
      </c>
      <c r="AW117" s="2">
        <f t="shared" si="1538"/>
        <v>38</v>
      </c>
      <c r="AX117" s="2">
        <v>9</v>
      </c>
      <c r="AY117" s="2">
        <f t="shared" ref="AY117:BA117" si="1539">_xlfn.RANK.EQ(AX117, AX$7:AX$375,0)</f>
        <v>110</v>
      </c>
      <c r="AZ117" s="2">
        <v>17</v>
      </c>
      <c r="BA117" s="2">
        <f t="shared" si="1539"/>
        <v>66</v>
      </c>
      <c r="BB117" s="2">
        <v>162</v>
      </c>
      <c r="BC117" s="2">
        <f t="shared" ref="BC117:BE117" si="1540">_xlfn.RANK.EQ(BB117, BB$7:BB$375,0)</f>
        <v>8</v>
      </c>
      <c r="BD117" s="2">
        <v>132</v>
      </c>
      <c r="BE117" s="2">
        <f t="shared" si="1540"/>
        <v>84</v>
      </c>
      <c r="BF117" s="2">
        <v>550</v>
      </c>
      <c r="BG117" s="2">
        <f t="shared" ref="BG117:BI117" si="1541">_xlfn.RANK.EQ(BF117, BF$7:BF$375,0)</f>
        <v>97</v>
      </c>
      <c r="BH117" s="2">
        <v>117</v>
      </c>
      <c r="BI117" s="2">
        <f t="shared" si="1541"/>
        <v>80</v>
      </c>
    </row>
    <row r="118" spans="1:61" x14ac:dyDescent="0.55000000000000004">
      <c r="A118" s="2">
        <v>112</v>
      </c>
      <c r="B118" s="2" t="s">
        <v>168</v>
      </c>
      <c r="C118" s="2" t="s">
        <v>48</v>
      </c>
      <c r="D118" s="2">
        <v>57</v>
      </c>
      <c r="E118" s="2">
        <f t="shared" si="897"/>
        <v>100</v>
      </c>
      <c r="F118" s="2">
        <v>57</v>
      </c>
      <c r="G118" s="2">
        <f t="shared" ref="G118:I118" si="1542">_xlfn.RANK.EQ(F118, F$7:F$375,0)</f>
        <v>23</v>
      </c>
      <c r="H118" s="3">
        <v>63.780555555555559</v>
      </c>
      <c r="I118" s="2">
        <f t="shared" si="1542"/>
        <v>39</v>
      </c>
      <c r="J118" s="3">
        <v>1.1187499999999999</v>
      </c>
      <c r="K118" s="2">
        <f t="shared" ref="K118:M118" si="1543">_xlfn.RANK.EQ(J118, J$7:J$375,0)</f>
        <v>51</v>
      </c>
      <c r="L118" s="2">
        <v>413</v>
      </c>
      <c r="M118" s="2">
        <f t="shared" si="1543"/>
        <v>112</v>
      </c>
      <c r="N118" s="2">
        <v>171</v>
      </c>
      <c r="O118" s="2">
        <f t="shared" ref="O118:Q118" si="1544">_xlfn.RANK.EQ(N118, N$7:N$375,0)</f>
        <v>96</v>
      </c>
      <c r="P118" s="2">
        <v>397</v>
      </c>
      <c r="Q118" s="2">
        <f t="shared" si="1544"/>
        <v>97</v>
      </c>
      <c r="R118" s="4">
        <v>0.43099999999999999</v>
      </c>
      <c r="S118" s="2">
        <f t="shared" ref="S118:U118" si="1545">_xlfn.RANK.EQ(R118, R$7:R$375,0)</f>
        <v>145</v>
      </c>
      <c r="T118" s="2">
        <v>122</v>
      </c>
      <c r="U118" s="2">
        <f t="shared" si="1545"/>
        <v>93</v>
      </c>
      <c r="V118" s="2">
        <v>220</v>
      </c>
      <c r="W118" s="2">
        <f t="shared" ref="W118:Y118" si="1546">_xlfn.RANK.EQ(V118, V$7:V$375,0)</f>
        <v>95</v>
      </c>
      <c r="X118" s="4">
        <v>0.55500000000000005</v>
      </c>
      <c r="Y118" s="2">
        <f t="shared" si="1546"/>
        <v>107</v>
      </c>
      <c r="Z118" s="2">
        <v>49</v>
      </c>
      <c r="AA118" s="2">
        <f t="shared" ref="AA118:AC118" si="1547">_xlfn.RANK.EQ(Z118, Z$7:Z$375,0)</f>
        <v>126</v>
      </c>
      <c r="AB118" s="2">
        <v>177</v>
      </c>
      <c r="AC118" s="2">
        <f t="shared" si="1547"/>
        <v>99</v>
      </c>
      <c r="AD118" s="4">
        <v>0.27700000000000002</v>
      </c>
      <c r="AE118" s="2">
        <f t="shared" ref="AE118:AG118" si="1548">_xlfn.RANK.EQ(AD118, AD$7:AD$375,0)</f>
        <v>248</v>
      </c>
      <c r="AF118" s="2">
        <v>22</v>
      </c>
      <c r="AG118" s="2">
        <f t="shared" si="1548"/>
        <v>201</v>
      </c>
      <c r="AH118" s="2">
        <v>33</v>
      </c>
      <c r="AI118" s="2">
        <f t="shared" ref="AI118:AK118" si="1549">_xlfn.RANK.EQ(AH118, AH$7:AH$375,0)</f>
        <v>201</v>
      </c>
      <c r="AJ118" s="4">
        <v>0.66700000000000004</v>
      </c>
      <c r="AK118" s="2">
        <f t="shared" si="1549"/>
        <v>227</v>
      </c>
      <c r="AL118" s="2">
        <v>56</v>
      </c>
      <c r="AM118" s="2">
        <f t="shared" ref="AM118:AO118" si="1550">_xlfn.RANK.EQ(AL118, AL$7:AL$375,0)</f>
        <v>79</v>
      </c>
      <c r="AN118" s="2">
        <v>121</v>
      </c>
      <c r="AO118" s="2">
        <f t="shared" si="1550"/>
        <v>94</v>
      </c>
      <c r="AP118" s="2">
        <v>177</v>
      </c>
      <c r="AQ118" s="2">
        <f t="shared" ref="AQ118:AS118" si="1551">_xlfn.RANK.EQ(AP118, AP$7:AP$375,0)</f>
        <v>88</v>
      </c>
      <c r="AR118" s="2">
        <v>366</v>
      </c>
      <c r="AS118" s="2">
        <f t="shared" si="1551"/>
        <v>2</v>
      </c>
      <c r="AT118" s="2">
        <v>107</v>
      </c>
      <c r="AU118" s="2">
        <f t="shared" ref="AU118:AW118" si="1552">_xlfn.RANK.EQ(AT118, AT$7:AT$375,0)</f>
        <v>42</v>
      </c>
      <c r="AV118" s="2">
        <v>98</v>
      </c>
      <c r="AW118" s="2">
        <f t="shared" si="1552"/>
        <v>7</v>
      </c>
      <c r="AX118" s="2">
        <v>10</v>
      </c>
      <c r="AY118" s="2">
        <f t="shared" ref="AY118:BA118" si="1553">_xlfn.RANK.EQ(AX118, AX$7:AX$375,0)</f>
        <v>103</v>
      </c>
      <c r="AZ118" s="2">
        <v>9</v>
      </c>
      <c r="BA118" s="2">
        <f t="shared" si="1553"/>
        <v>160</v>
      </c>
      <c r="BB118" s="2">
        <v>144</v>
      </c>
      <c r="BC118" s="2">
        <f t="shared" ref="BC118:BE118" si="1554">_xlfn.RANK.EQ(BB118, BB$7:BB$375,0)</f>
        <v>26</v>
      </c>
      <c r="BD118" s="2">
        <v>68</v>
      </c>
      <c r="BE118" s="2">
        <f t="shared" si="1554"/>
        <v>144</v>
      </c>
      <c r="BF118" s="2">
        <v>635</v>
      </c>
      <c r="BG118" s="2">
        <f t="shared" ref="BG118:BI118" si="1555">_xlfn.RANK.EQ(BF118, BF$7:BF$375,0)</f>
        <v>80</v>
      </c>
      <c r="BH118" s="2">
        <v>-64</v>
      </c>
      <c r="BI118" s="2">
        <f t="shared" si="1555"/>
        <v>254</v>
      </c>
    </row>
    <row r="119" spans="1:61" x14ac:dyDescent="0.55000000000000004">
      <c r="A119" s="2">
        <v>113</v>
      </c>
      <c r="B119" s="2" t="s">
        <v>169</v>
      </c>
      <c r="C119" s="2" t="s">
        <v>67</v>
      </c>
      <c r="D119" s="2">
        <v>36</v>
      </c>
      <c r="E119" s="2">
        <f t="shared" si="897"/>
        <v>263</v>
      </c>
      <c r="F119" s="2">
        <v>7</v>
      </c>
      <c r="G119" s="2">
        <f t="shared" ref="G119:I119" si="1556">_xlfn.RANK.EQ(F119, F$7:F$375,0)</f>
        <v>218</v>
      </c>
      <c r="H119" s="3">
        <v>32.736111111111114</v>
      </c>
      <c r="I119" s="2">
        <f t="shared" si="1556"/>
        <v>189</v>
      </c>
      <c r="J119" s="5">
        <v>0.90902777777777777</v>
      </c>
      <c r="K119" s="2">
        <f t="shared" ref="K119:M119" si="1557">_xlfn.RANK.EQ(J119, J$7:J$375,0)</f>
        <v>128</v>
      </c>
      <c r="L119" s="2">
        <v>409</v>
      </c>
      <c r="M119" s="2">
        <f t="shared" si="1557"/>
        <v>113</v>
      </c>
      <c r="N119" s="2">
        <v>151</v>
      </c>
      <c r="O119" s="2">
        <f t="shared" ref="O119:Q119" si="1558">_xlfn.RANK.EQ(N119, N$7:N$375,0)</f>
        <v>114</v>
      </c>
      <c r="P119" s="2">
        <v>262</v>
      </c>
      <c r="Q119" s="2">
        <f t="shared" si="1558"/>
        <v>156</v>
      </c>
      <c r="R119" s="4">
        <v>0.57599999999999996</v>
      </c>
      <c r="S119" s="2">
        <f t="shared" ref="S119:U119" si="1559">_xlfn.RANK.EQ(R119, R$7:R$375,0)</f>
        <v>28</v>
      </c>
      <c r="T119" s="2">
        <v>124</v>
      </c>
      <c r="U119" s="2">
        <f t="shared" si="1559"/>
        <v>91</v>
      </c>
      <c r="V119" s="2">
        <v>201</v>
      </c>
      <c r="W119" s="2">
        <f t="shared" ref="W119:Y119" si="1560">_xlfn.RANK.EQ(V119, V$7:V$375,0)</f>
        <v>102</v>
      </c>
      <c r="X119" s="4">
        <v>0.61699999999999999</v>
      </c>
      <c r="Y119" s="2">
        <f t="shared" si="1560"/>
        <v>44</v>
      </c>
      <c r="Z119" s="2">
        <v>27</v>
      </c>
      <c r="AA119" s="2">
        <f t="shared" ref="AA119:AC119" si="1561">_xlfn.RANK.EQ(Z119, Z$7:Z$375,0)</f>
        <v>185</v>
      </c>
      <c r="AB119" s="2">
        <v>61</v>
      </c>
      <c r="AC119" s="2">
        <f t="shared" si="1561"/>
        <v>217</v>
      </c>
      <c r="AD119" s="4">
        <v>0.443</v>
      </c>
      <c r="AE119" s="2">
        <f t="shared" ref="AE119:AG119" si="1562">_xlfn.RANK.EQ(AD119, AD$7:AD$375,0)</f>
        <v>21</v>
      </c>
      <c r="AF119" s="2">
        <v>80</v>
      </c>
      <c r="AG119" s="2">
        <f t="shared" si="1562"/>
        <v>89</v>
      </c>
      <c r="AH119" s="2">
        <v>106</v>
      </c>
      <c r="AI119" s="2">
        <f t="shared" ref="AI119:AK119" si="1563">_xlfn.RANK.EQ(AH119, AH$7:AH$375,0)</f>
        <v>91</v>
      </c>
      <c r="AJ119" s="4">
        <v>0.755</v>
      </c>
      <c r="AK119" s="2">
        <f t="shared" si="1563"/>
        <v>143</v>
      </c>
      <c r="AL119" s="2">
        <v>67</v>
      </c>
      <c r="AM119" s="2">
        <f t="shared" ref="AM119:AO119" si="1564">_xlfn.RANK.EQ(AL119, AL$7:AL$375,0)</f>
        <v>64</v>
      </c>
      <c r="AN119" s="2">
        <v>149</v>
      </c>
      <c r="AO119" s="2">
        <f t="shared" si="1564"/>
        <v>84</v>
      </c>
      <c r="AP119" s="2">
        <v>216</v>
      </c>
      <c r="AQ119" s="2">
        <f t="shared" ref="AQ119:AS119" si="1565">_xlfn.RANK.EQ(AP119, AP$7:AP$375,0)</f>
        <v>82</v>
      </c>
      <c r="AR119" s="2">
        <v>97</v>
      </c>
      <c r="AS119" s="2">
        <f t="shared" si="1565"/>
        <v>133</v>
      </c>
      <c r="AT119" s="2">
        <v>50</v>
      </c>
      <c r="AU119" s="2">
        <f t="shared" ref="AU119:AW119" si="1566">_xlfn.RANK.EQ(AT119, AT$7:AT$375,0)</f>
        <v>145</v>
      </c>
      <c r="AV119" s="2">
        <v>27</v>
      </c>
      <c r="AW119" s="2">
        <f t="shared" si="1566"/>
        <v>163</v>
      </c>
      <c r="AX119" s="2">
        <v>11</v>
      </c>
      <c r="AY119" s="2">
        <f t="shared" ref="AY119:BA119" si="1567">_xlfn.RANK.EQ(AX119, AX$7:AX$375,0)</f>
        <v>97</v>
      </c>
      <c r="AZ119" s="2">
        <v>15</v>
      </c>
      <c r="BA119" s="2">
        <f t="shared" si="1567"/>
        <v>87</v>
      </c>
      <c r="BB119" s="2">
        <v>47</v>
      </c>
      <c r="BC119" s="2">
        <f t="shared" ref="BC119:BE119" si="1568">_xlfn.RANK.EQ(BB119, BB$7:BB$375,0)</f>
        <v>272</v>
      </c>
      <c r="BD119" s="2">
        <v>113</v>
      </c>
      <c r="BE119" s="2">
        <f t="shared" si="1568"/>
        <v>97</v>
      </c>
      <c r="BF119" s="2">
        <v>624</v>
      </c>
      <c r="BG119" s="2">
        <f t="shared" ref="BG119:BI119" si="1569">_xlfn.RANK.EQ(BF119, BF$7:BF$375,0)</f>
        <v>85</v>
      </c>
      <c r="BH119" s="2">
        <v>223</v>
      </c>
      <c r="BI119" s="2">
        <f t="shared" si="1569"/>
        <v>43</v>
      </c>
    </row>
    <row r="120" spans="1:61" x14ac:dyDescent="0.55000000000000004">
      <c r="A120" s="2">
        <v>114</v>
      </c>
      <c r="B120" s="2" t="s">
        <v>170</v>
      </c>
      <c r="C120" s="2" t="s">
        <v>74</v>
      </c>
      <c r="D120" s="2">
        <v>60</v>
      </c>
      <c r="E120" s="2">
        <f t="shared" si="897"/>
        <v>1</v>
      </c>
      <c r="F120" s="2">
        <v>25</v>
      </c>
      <c r="G120" s="2">
        <f t="shared" ref="G120:I120" si="1570">_xlfn.RANK.EQ(F120, F$7:F$375,0)</f>
        <v>132</v>
      </c>
      <c r="H120" s="3">
        <v>48.011805555555554</v>
      </c>
      <c r="I120" s="2">
        <f t="shared" si="1570"/>
        <v>117</v>
      </c>
      <c r="J120" s="5">
        <v>0.8</v>
      </c>
      <c r="K120" s="2">
        <f t="shared" ref="K120:M120" si="1571">_xlfn.RANK.EQ(J120, J$7:J$375,0)</f>
        <v>161</v>
      </c>
      <c r="L120" s="2">
        <v>403</v>
      </c>
      <c r="M120" s="2">
        <f t="shared" si="1571"/>
        <v>114</v>
      </c>
      <c r="N120" s="2">
        <v>153</v>
      </c>
      <c r="O120" s="2">
        <f t="shared" ref="O120:Q120" si="1572">_xlfn.RANK.EQ(N120, N$7:N$375,0)</f>
        <v>108</v>
      </c>
      <c r="P120" s="2">
        <v>405</v>
      </c>
      <c r="Q120" s="2">
        <f t="shared" si="1572"/>
        <v>94</v>
      </c>
      <c r="R120" s="4">
        <v>0.378</v>
      </c>
      <c r="S120" s="2">
        <f t="shared" ref="S120:U120" si="1573">_xlfn.RANK.EQ(R120, R$7:R$375,0)</f>
        <v>236</v>
      </c>
      <c r="T120" s="2">
        <v>84</v>
      </c>
      <c r="U120" s="2">
        <f t="shared" si="1573"/>
        <v>118</v>
      </c>
      <c r="V120" s="2">
        <v>192</v>
      </c>
      <c r="W120" s="2">
        <f t="shared" ref="W120:Y120" si="1574">_xlfn.RANK.EQ(V120, V$7:V$375,0)</f>
        <v>109</v>
      </c>
      <c r="X120" s="4">
        <v>0.438</v>
      </c>
      <c r="Y120" s="2">
        <f t="shared" si="1574"/>
        <v>256</v>
      </c>
      <c r="Z120" s="2">
        <v>69</v>
      </c>
      <c r="AA120" s="2">
        <f t="shared" ref="AA120:AC120" si="1575">_xlfn.RANK.EQ(Z120, Z$7:Z$375,0)</f>
        <v>78</v>
      </c>
      <c r="AB120" s="2">
        <v>213</v>
      </c>
      <c r="AC120" s="2">
        <f t="shared" si="1575"/>
        <v>68</v>
      </c>
      <c r="AD120" s="4">
        <v>0.32400000000000001</v>
      </c>
      <c r="AE120" s="2">
        <f t="shared" ref="AE120:AG120" si="1576">_xlfn.RANK.EQ(AD120, AD$7:AD$375,0)</f>
        <v>174</v>
      </c>
      <c r="AF120" s="2">
        <v>28</v>
      </c>
      <c r="AG120" s="2">
        <f t="shared" si="1576"/>
        <v>182</v>
      </c>
      <c r="AH120" s="2">
        <v>31</v>
      </c>
      <c r="AI120" s="2">
        <f t="shared" ref="AI120:AK120" si="1577">_xlfn.RANK.EQ(AH120, AH$7:AH$375,0)</f>
        <v>206</v>
      </c>
      <c r="AJ120" s="4">
        <v>0.90300000000000002</v>
      </c>
      <c r="AK120" s="2">
        <f t="shared" si="1577"/>
        <v>17</v>
      </c>
      <c r="AL120" s="2">
        <v>14</v>
      </c>
      <c r="AM120" s="2">
        <f t="shared" ref="AM120:AO120" si="1578">_xlfn.RANK.EQ(AL120, AL$7:AL$375,0)</f>
        <v>249</v>
      </c>
      <c r="AN120" s="2">
        <v>96</v>
      </c>
      <c r="AO120" s="2">
        <f t="shared" si="1578"/>
        <v>114</v>
      </c>
      <c r="AP120" s="2">
        <v>110</v>
      </c>
      <c r="AQ120" s="2">
        <f t="shared" ref="AQ120:AS120" si="1579">_xlfn.RANK.EQ(AP120, AP$7:AP$375,0)</f>
        <v>144</v>
      </c>
      <c r="AR120" s="2">
        <v>119</v>
      </c>
      <c r="AS120" s="2">
        <f t="shared" si="1579"/>
        <v>97</v>
      </c>
      <c r="AT120" s="2">
        <v>82</v>
      </c>
      <c r="AU120" s="2">
        <f t="shared" ref="AU120:AW120" si="1580">_xlfn.RANK.EQ(AT120, AT$7:AT$375,0)</f>
        <v>76</v>
      </c>
      <c r="AV120" s="2">
        <v>23</v>
      </c>
      <c r="AW120" s="2">
        <f t="shared" si="1580"/>
        <v>190</v>
      </c>
      <c r="AX120" s="2">
        <v>7</v>
      </c>
      <c r="AY120" s="2">
        <f t="shared" ref="AY120:BA120" si="1581">_xlfn.RANK.EQ(AX120, AX$7:AX$375,0)</f>
        <v>138</v>
      </c>
      <c r="AZ120" s="2">
        <v>19</v>
      </c>
      <c r="BA120" s="2">
        <f t="shared" si="1581"/>
        <v>52</v>
      </c>
      <c r="BB120" s="2">
        <v>107</v>
      </c>
      <c r="BC120" s="2">
        <f t="shared" ref="BC120:BE120" si="1582">_xlfn.RANK.EQ(BB120, BB$7:BB$375,0)</f>
        <v>116</v>
      </c>
      <c r="BD120" s="2">
        <v>54</v>
      </c>
      <c r="BE120" s="2">
        <f t="shared" si="1582"/>
        <v>169</v>
      </c>
      <c r="BF120" s="2">
        <v>253</v>
      </c>
      <c r="BG120" s="2">
        <f t="shared" ref="BG120:BI120" si="1583">_xlfn.RANK.EQ(BF120, BF$7:BF$375,0)</f>
        <v>162</v>
      </c>
      <c r="BH120" s="2">
        <v>-164</v>
      </c>
      <c r="BI120" s="2">
        <f t="shared" si="1583"/>
        <v>328</v>
      </c>
    </row>
    <row r="121" spans="1:61" x14ac:dyDescent="0.55000000000000004">
      <c r="A121" s="2">
        <v>115</v>
      </c>
      <c r="B121" s="2" t="s">
        <v>171</v>
      </c>
      <c r="C121" s="2" t="s">
        <v>57</v>
      </c>
      <c r="D121" s="2">
        <v>55</v>
      </c>
      <c r="E121" s="2">
        <f t="shared" si="897"/>
        <v>139</v>
      </c>
      <c r="F121" s="2">
        <v>44</v>
      </c>
      <c r="G121" s="2">
        <f t="shared" ref="G121:I121" si="1584">_xlfn.RANK.EQ(F121, F$7:F$375,0)</f>
        <v>67</v>
      </c>
      <c r="H121" s="3">
        <v>51.47013888888889</v>
      </c>
      <c r="I121" s="2">
        <f t="shared" si="1584"/>
        <v>105</v>
      </c>
      <c r="J121" s="5">
        <v>0.93541666666666667</v>
      </c>
      <c r="K121" s="2">
        <f t="shared" ref="K121:M121" si="1585">_xlfn.RANK.EQ(J121, J$7:J$375,0)</f>
        <v>114</v>
      </c>
      <c r="L121" s="2">
        <v>401</v>
      </c>
      <c r="M121" s="2">
        <f t="shared" si="1585"/>
        <v>115</v>
      </c>
      <c r="N121" s="2">
        <v>161</v>
      </c>
      <c r="O121" s="2">
        <f t="shared" ref="O121:Q121" si="1586">_xlfn.RANK.EQ(N121, N$7:N$375,0)</f>
        <v>105</v>
      </c>
      <c r="P121" s="2">
        <v>402</v>
      </c>
      <c r="Q121" s="2">
        <f t="shared" si="1586"/>
        <v>95</v>
      </c>
      <c r="R121" s="4">
        <v>0.4</v>
      </c>
      <c r="S121" s="2">
        <f t="shared" ref="S121:U121" si="1587">_xlfn.RANK.EQ(R121, R$7:R$375,0)</f>
        <v>200</v>
      </c>
      <c r="T121" s="2">
        <v>94</v>
      </c>
      <c r="U121" s="2">
        <f t="shared" si="1587"/>
        <v>112</v>
      </c>
      <c r="V121" s="2">
        <v>200</v>
      </c>
      <c r="W121" s="2">
        <f t="shared" ref="W121:Y121" si="1588">_xlfn.RANK.EQ(V121, V$7:V$375,0)</f>
        <v>104</v>
      </c>
      <c r="X121" s="4">
        <v>0.47</v>
      </c>
      <c r="Y121" s="2">
        <f t="shared" si="1588"/>
        <v>221</v>
      </c>
      <c r="Z121" s="2">
        <v>67</v>
      </c>
      <c r="AA121" s="2">
        <f t="shared" ref="AA121:AC121" si="1589">_xlfn.RANK.EQ(Z121, Z$7:Z$375,0)</f>
        <v>82</v>
      </c>
      <c r="AB121" s="2">
        <v>202</v>
      </c>
      <c r="AC121" s="2">
        <f t="shared" si="1589"/>
        <v>76</v>
      </c>
      <c r="AD121" s="4">
        <v>0.33200000000000002</v>
      </c>
      <c r="AE121" s="2">
        <f t="shared" ref="AE121:AG121" si="1590">_xlfn.RANK.EQ(AD121, AD$7:AD$375,0)</f>
        <v>159</v>
      </c>
      <c r="AF121" s="2">
        <v>12</v>
      </c>
      <c r="AG121" s="2">
        <f t="shared" si="1590"/>
        <v>261</v>
      </c>
      <c r="AH121" s="2">
        <v>21</v>
      </c>
      <c r="AI121" s="2">
        <f t="shared" ref="AI121:AK121" si="1591">_xlfn.RANK.EQ(AH121, AH$7:AH$375,0)</f>
        <v>240</v>
      </c>
      <c r="AJ121" s="4">
        <v>0.57099999999999995</v>
      </c>
      <c r="AK121" s="2">
        <f t="shared" si="1591"/>
        <v>285</v>
      </c>
      <c r="AL121" s="2">
        <v>29</v>
      </c>
      <c r="AM121" s="2">
        <f t="shared" ref="AM121:AO121" si="1592">_xlfn.RANK.EQ(AL121, AL$7:AL$375,0)</f>
        <v>156</v>
      </c>
      <c r="AN121" s="2">
        <v>76</v>
      </c>
      <c r="AO121" s="2">
        <f t="shared" si="1592"/>
        <v>152</v>
      </c>
      <c r="AP121" s="2">
        <v>105</v>
      </c>
      <c r="AQ121" s="2">
        <f t="shared" ref="AQ121:AS121" si="1593">_xlfn.RANK.EQ(AP121, AP$7:AP$375,0)</f>
        <v>155</v>
      </c>
      <c r="AR121" s="2">
        <v>108</v>
      </c>
      <c r="AS121" s="2">
        <f t="shared" si="1593"/>
        <v>117</v>
      </c>
      <c r="AT121" s="2">
        <v>77</v>
      </c>
      <c r="AU121" s="2">
        <f t="shared" ref="AU121:AW121" si="1594">_xlfn.RANK.EQ(AT121, AT$7:AT$375,0)</f>
        <v>84</v>
      </c>
      <c r="AV121" s="2">
        <v>30</v>
      </c>
      <c r="AW121" s="2">
        <f t="shared" si="1594"/>
        <v>145</v>
      </c>
      <c r="AX121" s="2">
        <v>8</v>
      </c>
      <c r="AY121" s="2">
        <f t="shared" ref="AY121:BA121" si="1595">_xlfn.RANK.EQ(AX121, AX$7:AX$375,0)</f>
        <v>125</v>
      </c>
      <c r="AZ121" s="2">
        <v>19</v>
      </c>
      <c r="BA121" s="2">
        <f t="shared" si="1595"/>
        <v>52</v>
      </c>
      <c r="BB121" s="2">
        <v>141</v>
      </c>
      <c r="BC121" s="2">
        <f t="shared" ref="BC121:BE121" si="1596">_xlfn.RANK.EQ(BB121, BB$7:BB$375,0)</f>
        <v>35</v>
      </c>
      <c r="BD121" s="2">
        <v>36</v>
      </c>
      <c r="BE121" s="2">
        <f t="shared" si="1596"/>
        <v>216</v>
      </c>
      <c r="BF121" s="2">
        <v>201</v>
      </c>
      <c r="BG121" s="2">
        <f t="shared" ref="BG121:BI121" si="1597">_xlfn.RANK.EQ(BF121, BF$7:BF$375,0)</f>
        <v>189</v>
      </c>
      <c r="BH121" s="2">
        <v>-130</v>
      </c>
      <c r="BI121" s="2">
        <f t="shared" si="1597"/>
        <v>306</v>
      </c>
    </row>
    <row r="122" spans="1:61" x14ac:dyDescent="0.55000000000000004">
      <c r="A122" s="2">
        <v>115</v>
      </c>
      <c r="B122" s="2" t="s">
        <v>172</v>
      </c>
      <c r="C122" s="2" t="s">
        <v>64</v>
      </c>
      <c r="D122" s="2">
        <v>28</v>
      </c>
      <c r="E122" s="2">
        <f t="shared" si="897"/>
        <v>289</v>
      </c>
      <c r="F122" s="2">
        <v>28</v>
      </c>
      <c r="G122" s="2">
        <f t="shared" ref="G122:I122" si="1598">_xlfn.RANK.EQ(F122, F$7:F$375,0)</f>
        <v>125</v>
      </c>
      <c r="H122" s="3">
        <v>31.65</v>
      </c>
      <c r="I122" s="2">
        <f t="shared" si="1598"/>
        <v>196</v>
      </c>
      <c r="J122" s="3">
        <v>1.1298611111111112</v>
      </c>
      <c r="K122" s="2">
        <f t="shared" ref="K122:M122" si="1599">_xlfn.RANK.EQ(J122, J$7:J$375,0)</f>
        <v>48</v>
      </c>
      <c r="L122" s="2">
        <v>401</v>
      </c>
      <c r="M122" s="2">
        <f t="shared" si="1599"/>
        <v>115</v>
      </c>
      <c r="N122" s="2">
        <v>158</v>
      </c>
      <c r="O122" s="2">
        <f t="shared" ref="O122:Q122" si="1600">_xlfn.RANK.EQ(N122, N$7:N$375,0)</f>
        <v>106</v>
      </c>
      <c r="P122" s="2">
        <v>259</v>
      </c>
      <c r="Q122" s="2">
        <f t="shared" si="1600"/>
        <v>158</v>
      </c>
      <c r="R122" s="4">
        <v>0.61</v>
      </c>
      <c r="S122" s="2">
        <f t="shared" ref="S122:U122" si="1601">_xlfn.RANK.EQ(R122, R$7:R$375,0)</f>
        <v>12</v>
      </c>
      <c r="T122" s="2">
        <v>153</v>
      </c>
      <c r="U122" s="2">
        <f t="shared" si="1601"/>
        <v>69</v>
      </c>
      <c r="V122" s="2">
        <v>246</v>
      </c>
      <c r="W122" s="2">
        <f t="shared" ref="W122:Y122" si="1602">_xlfn.RANK.EQ(V122, V$7:V$375,0)</f>
        <v>86</v>
      </c>
      <c r="X122" s="4">
        <v>0.622</v>
      </c>
      <c r="Y122" s="2">
        <f t="shared" si="1602"/>
        <v>43</v>
      </c>
      <c r="Z122" s="2">
        <v>5</v>
      </c>
      <c r="AA122" s="2">
        <f t="shared" ref="AA122:AC122" si="1603">_xlfn.RANK.EQ(Z122, Z$7:Z$375,0)</f>
        <v>280</v>
      </c>
      <c r="AB122" s="2">
        <v>13</v>
      </c>
      <c r="AC122" s="2">
        <f t="shared" si="1603"/>
        <v>298</v>
      </c>
      <c r="AD122" s="4">
        <v>0.38500000000000001</v>
      </c>
      <c r="AE122" s="2">
        <f t="shared" ref="AE122:AG122" si="1604">_xlfn.RANK.EQ(AD122, AD$7:AD$375,0)</f>
        <v>59</v>
      </c>
      <c r="AF122" s="2">
        <v>80</v>
      </c>
      <c r="AG122" s="2">
        <f t="shared" si="1604"/>
        <v>89</v>
      </c>
      <c r="AH122" s="2">
        <v>98</v>
      </c>
      <c r="AI122" s="2">
        <f t="shared" ref="AI122:AK122" si="1605">_xlfn.RANK.EQ(AH122, AH$7:AH$375,0)</f>
        <v>95</v>
      </c>
      <c r="AJ122" s="4">
        <v>0.81599999999999995</v>
      </c>
      <c r="AK122" s="2">
        <f t="shared" si="1605"/>
        <v>65</v>
      </c>
      <c r="AL122" s="2">
        <v>89</v>
      </c>
      <c r="AM122" s="2">
        <f t="shared" ref="AM122:AO122" si="1606">_xlfn.RANK.EQ(AL122, AL$7:AL$375,0)</f>
        <v>44</v>
      </c>
      <c r="AN122" s="2">
        <v>226</v>
      </c>
      <c r="AO122" s="2">
        <f t="shared" si="1606"/>
        <v>58</v>
      </c>
      <c r="AP122" s="2">
        <v>315</v>
      </c>
      <c r="AQ122" s="2">
        <f t="shared" ref="AQ122:AS122" si="1607">_xlfn.RANK.EQ(AP122, AP$7:AP$375,0)</f>
        <v>56</v>
      </c>
      <c r="AR122" s="2">
        <v>92</v>
      </c>
      <c r="AS122" s="2">
        <f t="shared" si="1607"/>
        <v>138</v>
      </c>
      <c r="AT122" s="2">
        <v>32</v>
      </c>
      <c r="AU122" s="2">
        <f t="shared" ref="AU122:AW122" si="1608">_xlfn.RANK.EQ(AT122, AT$7:AT$375,0)</f>
        <v>204</v>
      </c>
      <c r="AV122" s="2">
        <v>20</v>
      </c>
      <c r="AW122" s="2">
        <f t="shared" si="1608"/>
        <v>207</v>
      </c>
      <c r="AX122" s="2">
        <v>12</v>
      </c>
      <c r="AY122" s="2">
        <f t="shared" ref="AY122:BA122" si="1609">_xlfn.RANK.EQ(AX122, AX$7:AX$375,0)</f>
        <v>88</v>
      </c>
      <c r="AZ122" s="2">
        <v>8</v>
      </c>
      <c r="BA122" s="2">
        <f t="shared" si="1609"/>
        <v>181</v>
      </c>
      <c r="BB122" s="2">
        <v>39</v>
      </c>
      <c r="BC122" s="2">
        <f t="shared" ref="BC122:BE122" si="1610">_xlfn.RANK.EQ(BB122, BB$7:BB$375,0)</f>
        <v>287</v>
      </c>
      <c r="BD122" s="2">
        <v>92</v>
      </c>
      <c r="BE122" s="2">
        <f t="shared" si="1610"/>
        <v>120</v>
      </c>
      <c r="BF122" s="2">
        <v>734</v>
      </c>
      <c r="BG122" s="2">
        <f t="shared" ref="BG122:BI122" si="1611">_xlfn.RANK.EQ(BF122, BF$7:BF$375,0)</f>
        <v>69</v>
      </c>
      <c r="BH122" s="2">
        <v>277</v>
      </c>
      <c r="BI122" s="2">
        <f t="shared" si="1611"/>
        <v>31</v>
      </c>
    </row>
    <row r="123" spans="1:61" x14ac:dyDescent="0.55000000000000004">
      <c r="A123" s="2">
        <v>117</v>
      </c>
      <c r="B123" s="2" t="s">
        <v>173</v>
      </c>
      <c r="C123" s="2" t="s">
        <v>32</v>
      </c>
      <c r="D123" s="2">
        <v>60</v>
      </c>
      <c r="E123" s="2">
        <f t="shared" si="897"/>
        <v>1</v>
      </c>
      <c r="F123" s="2">
        <v>60</v>
      </c>
      <c r="G123" s="2">
        <f t="shared" ref="G123:I123" si="1612">_xlfn.RANK.EQ(F123, F$7:F$375,0)</f>
        <v>1</v>
      </c>
      <c r="H123" s="3">
        <v>53.510416666666664</v>
      </c>
      <c r="I123" s="2">
        <f t="shared" si="1612"/>
        <v>97</v>
      </c>
      <c r="J123" s="5">
        <v>0.89166666666666672</v>
      </c>
      <c r="K123" s="2">
        <f t="shared" ref="K123:M123" si="1613">_xlfn.RANK.EQ(J123, J$7:J$375,0)</f>
        <v>136</v>
      </c>
      <c r="L123" s="2">
        <v>400</v>
      </c>
      <c r="M123" s="2">
        <f t="shared" si="1613"/>
        <v>117</v>
      </c>
      <c r="N123" s="2">
        <v>133</v>
      </c>
      <c r="O123" s="2">
        <f t="shared" ref="O123:Q123" si="1614">_xlfn.RANK.EQ(N123, N$7:N$375,0)</f>
        <v>130</v>
      </c>
      <c r="P123" s="2">
        <v>339</v>
      </c>
      <c r="Q123" s="2">
        <f t="shared" si="1614"/>
        <v>116</v>
      </c>
      <c r="R123" s="4">
        <v>0.39200000000000002</v>
      </c>
      <c r="S123" s="2">
        <f t="shared" ref="S123:U123" si="1615">_xlfn.RANK.EQ(R123, R$7:R$375,0)</f>
        <v>220</v>
      </c>
      <c r="T123" s="2">
        <v>38</v>
      </c>
      <c r="U123" s="2">
        <f t="shared" si="1615"/>
        <v>203</v>
      </c>
      <c r="V123" s="2">
        <v>88</v>
      </c>
      <c r="W123" s="2">
        <f t="shared" ref="W123:Y123" si="1616">_xlfn.RANK.EQ(V123, V$7:V$375,0)</f>
        <v>189</v>
      </c>
      <c r="X123" s="4">
        <v>0.432</v>
      </c>
      <c r="Y123" s="2">
        <f t="shared" si="1616"/>
        <v>268</v>
      </c>
      <c r="Z123" s="2">
        <v>95</v>
      </c>
      <c r="AA123" s="2">
        <f t="shared" ref="AA123:AC123" si="1617">_xlfn.RANK.EQ(Z123, Z$7:Z$375,0)</f>
        <v>39</v>
      </c>
      <c r="AB123" s="2">
        <v>251</v>
      </c>
      <c r="AC123" s="2">
        <f t="shared" si="1617"/>
        <v>47</v>
      </c>
      <c r="AD123" s="4">
        <v>0.378</v>
      </c>
      <c r="AE123" s="2">
        <f t="shared" ref="AE123:AG123" si="1618">_xlfn.RANK.EQ(AD123, AD$7:AD$375,0)</f>
        <v>68</v>
      </c>
      <c r="AF123" s="2">
        <v>39</v>
      </c>
      <c r="AG123" s="2">
        <f t="shared" si="1618"/>
        <v>148</v>
      </c>
      <c r="AH123" s="2">
        <v>50</v>
      </c>
      <c r="AI123" s="2">
        <f t="shared" ref="AI123:AK123" si="1619">_xlfn.RANK.EQ(AH123, AH$7:AH$375,0)</f>
        <v>156</v>
      </c>
      <c r="AJ123" s="4">
        <v>0.78</v>
      </c>
      <c r="AK123" s="2">
        <f t="shared" si="1619"/>
        <v>111</v>
      </c>
      <c r="AL123" s="2">
        <v>31</v>
      </c>
      <c r="AM123" s="2">
        <f t="shared" ref="AM123:AO123" si="1620">_xlfn.RANK.EQ(AL123, AL$7:AL$375,0)</f>
        <v>143</v>
      </c>
      <c r="AN123" s="2">
        <v>76</v>
      </c>
      <c r="AO123" s="2">
        <f t="shared" si="1620"/>
        <v>152</v>
      </c>
      <c r="AP123" s="2">
        <v>107</v>
      </c>
      <c r="AQ123" s="2">
        <f t="shared" ref="AQ123:AS123" si="1621">_xlfn.RANK.EQ(AP123, AP$7:AP$375,0)</f>
        <v>152</v>
      </c>
      <c r="AR123" s="2">
        <v>114</v>
      </c>
      <c r="AS123" s="2">
        <f t="shared" si="1621"/>
        <v>103</v>
      </c>
      <c r="AT123" s="2">
        <v>28</v>
      </c>
      <c r="AU123" s="2">
        <f t="shared" ref="AU123:AW123" si="1622">_xlfn.RANK.EQ(AT123, AT$7:AT$375,0)</f>
        <v>215</v>
      </c>
      <c r="AV123" s="2">
        <v>43</v>
      </c>
      <c r="AW123" s="2">
        <f t="shared" si="1622"/>
        <v>90</v>
      </c>
      <c r="AX123" s="2">
        <v>4</v>
      </c>
      <c r="AY123" s="2">
        <f t="shared" ref="AY123:BA123" si="1623">_xlfn.RANK.EQ(AX123, AX$7:AX$375,0)</f>
        <v>186</v>
      </c>
      <c r="AZ123" s="2">
        <v>11</v>
      </c>
      <c r="BA123" s="2">
        <f t="shared" si="1623"/>
        <v>132</v>
      </c>
      <c r="BB123" s="2">
        <v>95</v>
      </c>
      <c r="BC123" s="2">
        <f t="shared" ref="BC123:BE123" si="1624">_xlfn.RANK.EQ(BB123, BB$7:BB$375,0)</f>
        <v>152</v>
      </c>
      <c r="BD123" s="2">
        <v>91</v>
      </c>
      <c r="BE123" s="2">
        <f t="shared" si="1624"/>
        <v>122</v>
      </c>
      <c r="BF123" s="2">
        <v>408</v>
      </c>
      <c r="BG123" s="2">
        <f t="shared" ref="BG123:BI123" si="1625">_xlfn.RANK.EQ(BF123, BF$7:BF$375,0)</f>
        <v>121</v>
      </c>
      <c r="BH123" s="2">
        <v>174</v>
      </c>
      <c r="BI123" s="2">
        <f t="shared" si="1625"/>
        <v>55</v>
      </c>
    </row>
    <row r="124" spans="1:61" x14ac:dyDescent="0.55000000000000004">
      <c r="A124" s="2">
        <v>117</v>
      </c>
      <c r="B124" s="2" t="s">
        <v>174</v>
      </c>
      <c r="C124" s="2" t="s">
        <v>50</v>
      </c>
      <c r="D124" s="2">
        <v>57</v>
      </c>
      <c r="E124" s="2">
        <f t="shared" si="897"/>
        <v>100</v>
      </c>
      <c r="F124" s="2">
        <v>54</v>
      </c>
      <c r="G124" s="2">
        <f t="shared" ref="G124:I124" si="1626">_xlfn.RANK.EQ(F124, F$7:F$375,0)</f>
        <v>34</v>
      </c>
      <c r="H124" s="3">
        <v>58.760416666666664</v>
      </c>
      <c r="I124" s="2">
        <f t="shared" si="1626"/>
        <v>65</v>
      </c>
      <c r="J124" s="3">
        <v>1.0305555555555554</v>
      </c>
      <c r="K124" s="2">
        <f t="shared" ref="K124:M124" si="1627">_xlfn.RANK.EQ(J124, J$7:J$375,0)</f>
        <v>83</v>
      </c>
      <c r="L124" s="2">
        <v>400</v>
      </c>
      <c r="M124" s="2">
        <f t="shared" si="1627"/>
        <v>117</v>
      </c>
      <c r="N124" s="2">
        <v>136</v>
      </c>
      <c r="O124" s="2">
        <f t="shared" ref="O124:Q124" si="1628">_xlfn.RANK.EQ(N124, N$7:N$375,0)</f>
        <v>128</v>
      </c>
      <c r="P124" s="2">
        <v>328</v>
      </c>
      <c r="Q124" s="2">
        <f t="shared" si="1628"/>
        <v>122</v>
      </c>
      <c r="R124" s="4">
        <v>0.41499999999999998</v>
      </c>
      <c r="S124" s="2">
        <f t="shared" ref="S124:U124" si="1629">_xlfn.RANK.EQ(R124, R$7:R$375,0)</f>
        <v>173</v>
      </c>
      <c r="T124" s="2">
        <v>75</v>
      </c>
      <c r="U124" s="2">
        <f t="shared" si="1629"/>
        <v>129</v>
      </c>
      <c r="V124" s="2">
        <v>142</v>
      </c>
      <c r="W124" s="2">
        <f t="shared" ref="W124:Y124" si="1630">_xlfn.RANK.EQ(V124, V$7:V$375,0)</f>
        <v>145</v>
      </c>
      <c r="X124" s="4">
        <v>0.52800000000000002</v>
      </c>
      <c r="Y124" s="2">
        <f t="shared" si="1630"/>
        <v>142</v>
      </c>
      <c r="Z124" s="2">
        <v>61</v>
      </c>
      <c r="AA124" s="2">
        <f t="shared" ref="AA124:AC124" si="1631">_xlfn.RANK.EQ(Z124, Z$7:Z$375,0)</f>
        <v>93</v>
      </c>
      <c r="AB124" s="2">
        <v>186</v>
      </c>
      <c r="AC124" s="2">
        <f t="shared" si="1631"/>
        <v>89</v>
      </c>
      <c r="AD124" s="4">
        <v>0.32800000000000001</v>
      </c>
      <c r="AE124" s="2">
        <f t="shared" ref="AE124:AG124" si="1632">_xlfn.RANK.EQ(AD124, AD$7:AD$375,0)</f>
        <v>164</v>
      </c>
      <c r="AF124" s="2">
        <v>67</v>
      </c>
      <c r="AG124" s="2">
        <f t="shared" si="1632"/>
        <v>103</v>
      </c>
      <c r="AH124" s="2">
        <v>88</v>
      </c>
      <c r="AI124" s="2">
        <f t="shared" ref="AI124:AK124" si="1633">_xlfn.RANK.EQ(AH124, AH$7:AH$375,0)</f>
        <v>105</v>
      </c>
      <c r="AJ124" s="4">
        <v>0.76100000000000001</v>
      </c>
      <c r="AK124" s="2">
        <f t="shared" si="1633"/>
        <v>136</v>
      </c>
      <c r="AL124" s="2">
        <v>16</v>
      </c>
      <c r="AM124" s="2">
        <f t="shared" ref="AM124:AO124" si="1634">_xlfn.RANK.EQ(AL124, AL$7:AL$375,0)</f>
        <v>233</v>
      </c>
      <c r="AN124" s="2">
        <v>112</v>
      </c>
      <c r="AO124" s="2">
        <f t="shared" si="1634"/>
        <v>99</v>
      </c>
      <c r="AP124" s="2">
        <v>128</v>
      </c>
      <c r="AQ124" s="2">
        <f t="shared" ref="AQ124:AS124" si="1635">_xlfn.RANK.EQ(AP124, AP$7:AP$375,0)</f>
        <v>123</v>
      </c>
      <c r="AR124" s="2">
        <v>169</v>
      </c>
      <c r="AS124" s="2">
        <f t="shared" si="1635"/>
        <v>59</v>
      </c>
      <c r="AT124" s="2">
        <v>48</v>
      </c>
      <c r="AU124" s="2">
        <f t="shared" ref="AU124:AW124" si="1636">_xlfn.RANK.EQ(AT124, AT$7:AT$375,0)</f>
        <v>148</v>
      </c>
      <c r="AV124" s="2">
        <v>35</v>
      </c>
      <c r="AW124" s="2">
        <f t="shared" si="1636"/>
        <v>126</v>
      </c>
      <c r="AX124" s="2">
        <v>3</v>
      </c>
      <c r="AY124" s="2">
        <f t="shared" ref="AY124:BA124" si="1637">_xlfn.RANK.EQ(AX124, AX$7:AX$375,0)</f>
        <v>208</v>
      </c>
      <c r="AZ124" s="2">
        <v>7</v>
      </c>
      <c r="BA124" s="2">
        <f t="shared" si="1637"/>
        <v>195</v>
      </c>
      <c r="BB124" s="2">
        <v>148</v>
      </c>
      <c r="BC124" s="2">
        <f t="shared" ref="BC124:BE124" si="1638">_xlfn.RANK.EQ(BB124, BB$7:BB$375,0)</f>
        <v>20</v>
      </c>
      <c r="BD124" s="2">
        <v>135</v>
      </c>
      <c r="BE124" s="2">
        <f t="shared" si="1638"/>
        <v>81</v>
      </c>
      <c r="BF124" s="2">
        <v>452</v>
      </c>
      <c r="BG124" s="2">
        <f t="shared" ref="BG124:BI124" si="1639">_xlfn.RANK.EQ(BF124, BF$7:BF$375,0)</f>
        <v>110</v>
      </c>
      <c r="BH124" s="2">
        <v>198</v>
      </c>
      <c r="BI124" s="2">
        <f t="shared" si="1639"/>
        <v>48</v>
      </c>
    </row>
    <row r="125" spans="1:61" x14ac:dyDescent="0.55000000000000004">
      <c r="A125" s="2">
        <v>119</v>
      </c>
      <c r="B125" s="2" t="s">
        <v>175</v>
      </c>
      <c r="C125" s="2" t="s">
        <v>62</v>
      </c>
      <c r="D125" s="2">
        <v>51</v>
      </c>
      <c r="E125" s="2">
        <f t="shared" si="897"/>
        <v>183</v>
      </c>
      <c r="F125" s="2">
        <v>12</v>
      </c>
      <c r="G125" s="2">
        <f t="shared" ref="G125:I125" si="1640">_xlfn.RANK.EQ(F125, F$7:F$375,0)</f>
        <v>192</v>
      </c>
      <c r="H125" s="3">
        <v>45.381250000000001</v>
      </c>
      <c r="I125" s="2">
        <f t="shared" si="1640"/>
        <v>128</v>
      </c>
      <c r="J125" s="5">
        <v>0.88958333333333328</v>
      </c>
      <c r="K125" s="2">
        <f t="shared" ref="K125:M125" si="1641">_xlfn.RANK.EQ(J125, J$7:J$375,0)</f>
        <v>137</v>
      </c>
      <c r="L125" s="2">
        <v>399</v>
      </c>
      <c r="M125" s="2">
        <f t="shared" si="1641"/>
        <v>119</v>
      </c>
      <c r="N125" s="2">
        <v>182</v>
      </c>
      <c r="O125" s="2">
        <f t="shared" ref="O125:Q125" si="1642">_xlfn.RANK.EQ(N125, N$7:N$375,0)</f>
        <v>90</v>
      </c>
      <c r="P125" s="2">
        <v>333</v>
      </c>
      <c r="Q125" s="2">
        <f t="shared" si="1642"/>
        <v>120</v>
      </c>
      <c r="R125" s="4">
        <v>0.54700000000000004</v>
      </c>
      <c r="S125" s="2">
        <f t="shared" ref="S125:U125" si="1643">_xlfn.RANK.EQ(R125, R$7:R$375,0)</f>
        <v>42</v>
      </c>
      <c r="T125" s="2">
        <v>182</v>
      </c>
      <c r="U125" s="2">
        <f t="shared" si="1643"/>
        <v>58</v>
      </c>
      <c r="V125" s="2">
        <v>330</v>
      </c>
      <c r="W125" s="2">
        <f t="shared" ref="W125:Y125" si="1644">_xlfn.RANK.EQ(V125, V$7:V$375,0)</f>
        <v>55</v>
      </c>
      <c r="X125" s="4">
        <v>0.55200000000000005</v>
      </c>
      <c r="Y125" s="2">
        <f t="shared" si="1644"/>
        <v>110</v>
      </c>
      <c r="Z125" s="2">
        <v>0</v>
      </c>
      <c r="AA125" s="2">
        <f t="shared" ref="AA125:AC125" si="1645">_xlfn.RANK.EQ(Z125, Z$7:Z$375,0)</f>
        <v>329</v>
      </c>
      <c r="AB125" s="2">
        <v>3</v>
      </c>
      <c r="AC125" s="2">
        <f t="shared" si="1645"/>
        <v>328</v>
      </c>
      <c r="AD125" s="4">
        <v>0</v>
      </c>
      <c r="AE125" s="2">
        <f t="shared" ref="AE125:AG125" si="1646">_xlfn.RANK.EQ(AD125, AD$7:AD$375,0)</f>
        <v>329</v>
      </c>
      <c r="AF125" s="2">
        <v>35</v>
      </c>
      <c r="AG125" s="2">
        <f t="shared" si="1646"/>
        <v>157</v>
      </c>
      <c r="AH125" s="2">
        <v>66</v>
      </c>
      <c r="AI125" s="2">
        <f t="shared" ref="AI125:AK125" si="1647">_xlfn.RANK.EQ(AH125, AH$7:AH$375,0)</f>
        <v>132</v>
      </c>
      <c r="AJ125" s="4">
        <v>0.53</v>
      </c>
      <c r="AK125" s="2">
        <f t="shared" si="1647"/>
        <v>301</v>
      </c>
      <c r="AL125" s="2">
        <v>171</v>
      </c>
      <c r="AM125" s="2">
        <f t="shared" ref="AM125:AO125" si="1648">_xlfn.RANK.EQ(AL125, AL$7:AL$375,0)</f>
        <v>8</v>
      </c>
      <c r="AN125" s="2">
        <v>244</v>
      </c>
      <c r="AO125" s="2">
        <f t="shared" si="1648"/>
        <v>46</v>
      </c>
      <c r="AP125" s="2">
        <v>415</v>
      </c>
      <c r="AQ125" s="2">
        <f t="shared" ref="AQ125:AS125" si="1649">_xlfn.RANK.EQ(AP125, AP$7:AP$375,0)</f>
        <v>22</v>
      </c>
      <c r="AR125" s="2">
        <v>61</v>
      </c>
      <c r="AS125" s="2">
        <f t="shared" si="1649"/>
        <v>198</v>
      </c>
      <c r="AT125" s="2">
        <v>29</v>
      </c>
      <c r="AU125" s="2">
        <f t="shared" ref="AU125:AW125" si="1650">_xlfn.RANK.EQ(AT125, AT$7:AT$375,0)</f>
        <v>212</v>
      </c>
      <c r="AV125" s="2">
        <v>18</v>
      </c>
      <c r="AW125" s="2">
        <f t="shared" si="1650"/>
        <v>221</v>
      </c>
      <c r="AX125" s="2">
        <v>38</v>
      </c>
      <c r="AY125" s="2">
        <f t="shared" ref="AY125:BA125" si="1651">_xlfn.RANK.EQ(AX125, AX$7:AX$375,0)</f>
        <v>26</v>
      </c>
      <c r="AZ125" s="2">
        <v>4</v>
      </c>
      <c r="BA125" s="2">
        <f t="shared" si="1651"/>
        <v>246</v>
      </c>
      <c r="BB125" s="2">
        <v>69</v>
      </c>
      <c r="BC125" s="2">
        <f t="shared" ref="BC125:BE125" si="1652">_xlfn.RANK.EQ(BB125, BB$7:BB$375,0)</f>
        <v>218</v>
      </c>
      <c r="BD125" s="2">
        <v>75</v>
      </c>
      <c r="BE125" s="2">
        <f t="shared" si="1652"/>
        <v>138</v>
      </c>
      <c r="BF125" s="2">
        <v>722</v>
      </c>
      <c r="BG125" s="2">
        <f t="shared" ref="BG125:BI125" si="1653">_xlfn.RANK.EQ(BF125, BF$7:BF$375,0)</f>
        <v>71</v>
      </c>
      <c r="BH125" s="2">
        <v>-60</v>
      </c>
      <c r="BI125" s="2">
        <f t="shared" si="1653"/>
        <v>248</v>
      </c>
    </row>
    <row r="126" spans="1:61" x14ac:dyDescent="0.55000000000000004">
      <c r="A126" s="2">
        <v>120</v>
      </c>
      <c r="B126" s="2" t="s">
        <v>176</v>
      </c>
      <c r="C126" s="2" t="s">
        <v>67</v>
      </c>
      <c r="D126" s="2">
        <v>57</v>
      </c>
      <c r="E126" s="2">
        <f t="shared" si="897"/>
        <v>100</v>
      </c>
      <c r="F126" s="2">
        <v>48</v>
      </c>
      <c r="G126" s="2">
        <f t="shared" ref="G126:I126" si="1654">_xlfn.RANK.EQ(F126, F$7:F$375,0)</f>
        <v>58</v>
      </c>
      <c r="H126" s="3">
        <v>54.094444444444441</v>
      </c>
      <c r="I126" s="2">
        <f t="shared" si="1654"/>
        <v>92</v>
      </c>
      <c r="J126" s="5">
        <v>0.94861111111111107</v>
      </c>
      <c r="K126" s="2">
        <f t="shared" ref="K126:M126" si="1655">_xlfn.RANK.EQ(J126, J$7:J$375,0)</f>
        <v>108</v>
      </c>
      <c r="L126" s="2">
        <v>392</v>
      </c>
      <c r="M126" s="2">
        <f t="shared" si="1655"/>
        <v>120</v>
      </c>
      <c r="N126" s="2">
        <v>149</v>
      </c>
      <c r="O126" s="2">
        <f t="shared" ref="O126:Q126" si="1656">_xlfn.RANK.EQ(N126, N$7:N$375,0)</f>
        <v>115</v>
      </c>
      <c r="P126" s="2">
        <v>271</v>
      </c>
      <c r="Q126" s="2">
        <f t="shared" si="1656"/>
        <v>149</v>
      </c>
      <c r="R126" s="4">
        <v>0.55000000000000004</v>
      </c>
      <c r="S126" s="2">
        <f t="shared" ref="S126:U126" si="1657">_xlfn.RANK.EQ(R126, R$7:R$375,0)</f>
        <v>39</v>
      </c>
      <c r="T126" s="2">
        <v>149</v>
      </c>
      <c r="U126" s="2">
        <f t="shared" si="1657"/>
        <v>71</v>
      </c>
      <c r="V126" s="2">
        <v>270</v>
      </c>
      <c r="W126" s="2">
        <f t="shared" ref="W126:Y126" si="1658">_xlfn.RANK.EQ(V126, V$7:V$375,0)</f>
        <v>77</v>
      </c>
      <c r="X126" s="4">
        <v>0.55200000000000005</v>
      </c>
      <c r="Y126" s="2">
        <f t="shared" si="1658"/>
        <v>110</v>
      </c>
      <c r="Z126" s="2">
        <v>0</v>
      </c>
      <c r="AA126" s="2">
        <f t="shared" ref="AA126:AC126" si="1659">_xlfn.RANK.EQ(Z126, Z$7:Z$375,0)</f>
        <v>329</v>
      </c>
      <c r="AB126" s="2">
        <v>1</v>
      </c>
      <c r="AC126" s="2">
        <f t="shared" si="1659"/>
        <v>342</v>
      </c>
      <c r="AD126" s="4">
        <v>0</v>
      </c>
      <c r="AE126" s="2">
        <f t="shared" ref="AE126:AG126" si="1660">_xlfn.RANK.EQ(AD126, AD$7:AD$375,0)</f>
        <v>329</v>
      </c>
      <c r="AF126" s="2">
        <v>94</v>
      </c>
      <c r="AG126" s="2">
        <f t="shared" si="1660"/>
        <v>72</v>
      </c>
      <c r="AH126" s="2">
        <v>116</v>
      </c>
      <c r="AI126" s="2">
        <f t="shared" ref="AI126:AK126" si="1661">_xlfn.RANK.EQ(AH126, AH$7:AH$375,0)</f>
        <v>84</v>
      </c>
      <c r="AJ126" s="4">
        <v>0.81</v>
      </c>
      <c r="AK126" s="2">
        <f t="shared" si="1661"/>
        <v>72</v>
      </c>
      <c r="AL126" s="2">
        <v>119</v>
      </c>
      <c r="AM126" s="2">
        <f t="shared" ref="AM126:AO126" si="1662">_xlfn.RANK.EQ(AL126, AL$7:AL$375,0)</f>
        <v>30</v>
      </c>
      <c r="AN126" s="2">
        <v>253</v>
      </c>
      <c r="AO126" s="2">
        <f t="shared" si="1662"/>
        <v>41</v>
      </c>
      <c r="AP126" s="2">
        <v>372</v>
      </c>
      <c r="AQ126" s="2">
        <f t="shared" ref="AQ126:AS126" si="1663">_xlfn.RANK.EQ(AP126, AP$7:AP$375,0)</f>
        <v>33</v>
      </c>
      <c r="AR126" s="2">
        <v>104</v>
      </c>
      <c r="AS126" s="2">
        <f t="shared" si="1663"/>
        <v>121</v>
      </c>
      <c r="AT126" s="2">
        <v>60</v>
      </c>
      <c r="AU126" s="2">
        <f t="shared" ref="AU126:AW126" si="1664">_xlfn.RANK.EQ(AT126, AT$7:AT$375,0)</f>
        <v>120</v>
      </c>
      <c r="AV126" s="2">
        <v>43</v>
      </c>
      <c r="AW126" s="2">
        <f t="shared" si="1664"/>
        <v>90</v>
      </c>
      <c r="AX126" s="2">
        <v>59</v>
      </c>
      <c r="AY126" s="2">
        <f t="shared" ref="AY126:BA126" si="1665">_xlfn.RANK.EQ(AX126, AX$7:AX$375,0)</f>
        <v>5</v>
      </c>
      <c r="AZ126" s="2">
        <v>23</v>
      </c>
      <c r="BA126" s="2">
        <f t="shared" si="1665"/>
        <v>34</v>
      </c>
      <c r="BB126" s="2">
        <v>108</v>
      </c>
      <c r="BC126" s="2">
        <f t="shared" ref="BC126:BE126" si="1666">_xlfn.RANK.EQ(BB126, BB$7:BB$375,0)</f>
        <v>113</v>
      </c>
      <c r="BD126" s="2">
        <v>99</v>
      </c>
      <c r="BE126" s="2">
        <f t="shared" si="1666"/>
        <v>112</v>
      </c>
      <c r="BF126" s="2">
        <v>734</v>
      </c>
      <c r="BG126" s="2">
        <f t="shared" ref="BG126:BI126" si="1667">_xlfn.RANK.EQ(BF126, BF$7:BF$375,0)</f>
        <v>69</v>
      </c>
      <c r="BH126" s="2">
        <v>350</v>
      </c>
      <c r="BI126" s="2">
        <f t="shared" si="1667"/>
        <v>15</v>
      </c>
    </row>
    <row r="127" spans="1:61" x14ac:dyDescent="0.55000000000000004">
      <c r="A127" s="2">
        <v>121</v>
      </c>
      <c r="B127" s="2" t="s">
        <v>177</v>
      </c>
      <c r="C127" s="2" t="s">
        <v>57</v>
      </c>
      <c r="D127" s="2">
        <v>60</v>
      </c>
      <c r="E127" s="2">
        <f t="shared" si="897"/>
        <v>1</v>
      </c>
      <c r="F127" s="2">
        <v>29</v>
      </c>
      <c r="G127" s="2">
        <f t="shared" ref="G127:I127" si="1668">_xlfn.RANK.EQ(F127, F$7:F$375,0)</f>
        <v>120</v>
      </c>
      <c r="H127" s="3">
        <v>54.468055555555559</v>
      </c>
      <c r="I127" s="2">
        <f t="shared" si="1668"/>
        <v>90</v>
      </c>
      <c r="J127" s="5">
        <v>0.90763888888888888</v>
      </c>
      <c r="K127" s="2">
        <f t="shared" ref="K127:M127" si="1669">_xlfn.RANK.EQ(J127, J$7:J$375,0)</f>
        <v>129</v>
      </c>
      <c r="L127" s="2">
        <v>391</v>
      </c>
      <c r="M127" s="2">
        <f t="shared" si="1669"/>
        <v>121</v>
      </c>
      <c r="N127" s="2">
        <v>138</v>
      </c>
      <c r="O127" s="2">
        <f t="shared" ref="O127:Q127" si="1670">_xlfn.RANK.EQ(N127, N$7:N$375,0)</f>
        <v>125</v>
      </c>
      <c r="P127" s="2">
        <v>390</v>
      </c>
      <c r="Q127" s="2">
        <f t="shared" si="1670"/>
        <v>99</v>
      </c>
      <c r="R127" s="4">
        <v>0.35399999999999998</v>
      </c>
      <c r="S127" s="2">
        <f t="shared" ref="S127:U127" si="1671">_xlfn.RANK.EQ(R127, R$7:R$375,0)</f>
        <v>274</v>
      </c>
      <c r="T127" s="2">
        <v>64</v>
      </c>
      <c r="U127" s="2">
        <f t="shared" si="1671"/>
        <v>150</v>
      </c>
      <c r="V127" s="2">
        <v>146</v>
      </c>
      <c r="W127" s="2">
        <f t="shared" ref="W127:Y127" si="1672">_xlfn.RANK.EQ(V127, V$7:V$375,0)</f>
        <v>139</v>
      </c>
      <c r="X127" s="4">
        <v>0.438</v>
      </c>
      <c r="Y127" s="2">
        <f t="shared" si="1672"/>
        <v>256</v>
      </c>
      <c r="Z127" s="2">
        <v>74</v>
      </c>
      <c r="AA127" s="2">
        <f t="shared" ref="AA127:AC127" si="1673">_xlfn.RANK.EQ(Z127, Z$7:Z$375,0)</f>
        <v>68</v>
      </c>
      <c r="AB127" s="2">
        <v>244</v>
      </c>
      <c r="AC127" s="2">
        <f t="shared" si="1673"/>
        <v>50</v>
      </c>
      <c r="AD127" s="4">
        <v>0.30299999999999999</v>
      </c>
      <c r="AE127" s="2">
        <f t="shared" ref="AE127:AG127" si="1674">_xlfn.RANK.EQ(AD127, AD$7:AD$375,0)</f>
        <v>204</v>
      </c>
      <c r="AF127" s="2">
        <v>41</v>
      </c>
      <c r="AG127" s="2">
        <f t="shared" si="1674"/>
        <v>142</v>
      </c>
      <c r="AH127" s="2">
        <v>51</v>
      </c>
      <c r="AI127" s="2">
        <f t="shared" ref="AI127:AK127" si="1675">_xlfn.RANK.EQ(AH127, AH$7:AH$375,0)</f>
        <v>154</v>
      </c>
      <c r="AJ127" s="4">
        <v>0.80400000000000005</v>
      </c>
      <c r="AK127" s="2">
        <f t="shared" si="1675"/>
        <v>83</v>
      </c>
      <c r="AL127" s="2">
        <v>13</v>
      </c>
      <c r="AM127" s="2">
        <f t="shared" ref="AM127:AO127" si="1676">_xlfn.RANK.EQ(AL127, AL$7:AL$375,0)</f>
        <v>256</v>
      </c>
      <c r="AN127" s="2">
        <v>69</v>
      </c>
      <c r="AO127" s="2">
        <f t="shared" si="1676"/>
        <v>163</v>
      </c>
      <c r="AP127" s="2">
        <v>82</v>
      </c>
      <c r="AQ127" s="2">
        <f t="shared" ref="AQ127:AS127" si="1677">_xlfn.RANK.EQ(AP127, AP$7:AP$375,0)</f>
        <v>183</v>
      </c>
      <c r="AR127" s="2">
        <v>87</v>
      </c>
      <c r="AS127" s="2">
        <f t="shared" si="1677"/>
        <v>150</v>
      </c>
      <c r="AT127" s="2">
        <v>65</v>
      </c>
      <c r="AU127" s="2">
        <f t="shared" ref="AU127:AW127" si="1678">_xlfn.RANK.EQ(AT127, AT$7:AT$375,0)</f>
        <v>110</v>
      </c>
      <c r="AV127" s="2">
        <v>30</v>
      </c>
      <c r="AW127" s="2">
        <f t="shared" si="1678"/>
        <v>145</v>
      </c>
      <c r="AX127" s="2">
        <v>8</v>
      </c>
      <c r="AY127" s="2">
        <f t="shared" ref="AY127:BA127" si="1679">_xlfn.RANK.EQ(AX127, AX$7:AX$375,0)</f>
        <v>125</v>
      </c>
      <c r="AZ127" s="2">
        <v>7</v>
      </c>
      <c r="BA127" s="2">
        <f t="shared" si="1679"/>
        <v>195</v>
      </c>
      <c r="BB127" s="2">
        <v>150</v>
      </c>
      <c r="BC127" s="2">
        <f t="shared" ref="BC127:BE127" si="1680">_xlfn.RANK.EQ(BB127, BB$7:BB$375,0)</f>
        <v>18</v>
      </c>
      <c r="BD127" s="2">
        <v>69</v>
      </c>
      <c r="BE127" s="2">
        <f t="shared" si="1680"/>
        <v>141</v>
      </c>
      <c r="BF127" s="2">
        <v>183</v>
      </c>
      <c r="BG127" s="2">
        <f t="shared" ref="BG127:BI127" si="1681">_xlfn.RANK.EQ(BF127, BF$7:BF$375,0)</f>
        <v>194</v>
      </c>
      <c r="BH127" s="2">
        <v>-51</v>
      </c>
      <c r="BI127" s="2">
        <f t="shared" si="1681"/>
        <v>234</v>
      </c>
    </row>
    <row r="128" spans="1:61" x14ac:dyDescent="0.55000000000000004">
      <c r="A128" s="2">
        <v>122</v>
      </c>
      <c r="B128" s="2" t="s">
        <v>178</v>
      </c>
      <c r="C128" s="2" t="s">
        <v>36</v>
      </c>
      <c r="D128" s="2">
        <v>60</v>
      </c>
      <c r="E128" s="2">
        <f t="shared" si="897"/>
        <v>1</v>
      </c>
      <c r="F128" s="2">
        <v>6</v>
      </c>
      <c r="G128" s="2">
        <f t="shared" ref="G128:I128" si="1682">_xlfn.RANK.EQ(F128, F$7:F$375,0)</f>
        <v>228</v>
      </c>
      <c r="H128" s="3">
        <v>39.128472222222221</v>
      </c>
      <c r="I128" s="2">
        <f t="shared" si="1682"/>
        <v>153</v>
      </c>
      <c r="J128" s="5">
        <v>0.65208333333333335</v>
      </c>
      <c r="K128" s="2">
        <f t="shared" ref="K128:M128" si="1683">_xlfn.RANK.EQ(J128, J$7:J$375,0)</f>
        <v>210</v>
      </c>
      <c r="L128" s="2">
        <v>382</v>
      </c>
      <c r="M128" s="2">
        <f t="shared" si="1683"/>
        <v>122</v>
      </c>
      <c r="N128" s="2">
        <v>117</v>
      </c>
      <c r="O128" s="2">
        <f t="shared" ref="O128:Q128" si="1684">_xlfn.RANK.EQ(N128, N$7:N$375,0)</f>
        <v>146</v>
      </c>
      <c r="P128" s="2">
        <v>292</v>
      </c>
      <c r="Q128" s="2">
        <f t="shared" si="1684"/>
        <v>140</v>
      </c>
      <c r="R128" s="4">
        <v>0.40100000000000002</v>
      </c>
      <c r="S128" s="2">
        <f t="shared" ref="S128:U128" si="1685">_xlfn.RANK.EQ(R128, R$7:R$375,0)</f>
        <v>198</v>
      </c>
      <c r="T128" s="2">
        <v>62</v>
      </c>
      <c r="U128" s="2">
        <f t="shared" si="1685"/>
        <v>152</v>
      </c>
      <c r="V128" s="2">
        <v>154</v>
      </c>
      <c r="W128" s="2">
        <f t="shared" ref="W128:Y128" si="1686">_xlfn.RANK.EQ(V128, V$7:V$375,0)</f>
        <v>130</v>
      </c>
      <c r="X128" s="4">
        <v>0.40300000000000002</v>
      </c>
      <c r="Y128" s="2">
        <f t="shared" si="1686"/>
        <v>292</v>
      </c>
      <c r="Z128" s="2">
        <v>55</v>
      </c>
      <c r="AA128" s="2">
        <f t="shared" ref="AA128:AC128" si="1687">_xlfn.RANK.EQ(Z128, Z$7:Z$375,0)</f>
        <v>107</v>
      </c>
      <c r="AB128" s="2">
        <v>138</v>
      </c>
      <c r="AC128" s="2">
        <f t="shared" si="1687"/>
        <v>133</v>
      </c>
      <c r="AD128" s="4">
        <v>0.39900000000000002</v>
      </c>
      <c r="AE128" s="2">
        <f t="shared" ref="AE128:AG128" si="1688">_xlfn.RANK.EQ(AD128, AD$7:AD$375,0)</f>
        <v>40</v>
      </c>
      <c r="AF128" s="2">
        <v>93</v>
      </c>
      <c r="AG128" s="2">
        <f t="shared" si="1688"/>
        <v>73</v>
      </c>
      <c r="AH128" s="2">
        <v>127</v>
      </c>
      <c r="AI128" s="2">
        <f t="shared" ref="AI128:AK128" si="1689">_xlfn.RANK.EQ(AH128, AH$7:AH$375,0)</f>
        <v>71</v>
      </c>
      <c r="AJ128" s="4">
        <v>0.73199999999999998</v>
      </c>
      <c r="AK128" s="2">
        <f t="shared" si="1689"/>
        <v>171</v>
      </c>
      <c r="AL128" s="2">
        <v>36</v>
      </c>
      <c r="AM128" s="2">
        <f t="shared" ref="AM128:AO128" si="1690">_xlfn.RANK.EQ(AL128, AL$7:AL$375,0)</f>
        <v>127</v>
      </c>
      <c r="AN128" s="2">
        <v>62</v>
      </c>
      <c r="AO128" s="2">
        <f t="shared" si="1690"/>
        <v>174</v>
      </c>
      <c r="AP128" s="2">
        <v>98</v>
      </c>
      <c r="AQ128" s="2">
        <f t="shared" ref="AQ128:AS128" si="1691">_xlfn.RANK.EQ(AP128, AP$7:AP$375,0)</f>
        <v>165</v>
      </c>
      <c r="AR128" s="2">
        <v>106</v>
      </c>
      <c r="AS128" s="2">
        <f t="shared" si="1691"/>
        <v>119</v>
      </c>
      <c r="AT128" s="2">
        <v>60</v>
      </c>
      <c r="AU128" s="2">
        <f t="shared" ref="AU128:AW128" si="1692">_xlfn.RANK.EQ(AT128, AT$7:AT$375,0)</f>
        <v>120</v>
      </c>
      <c r="AV128" s="2">
        <v>20</v>
      </c>
      <c r="AW128" s="2">
        <f t="shared" si="1692"/>
        <v>207</v>
      </c>
      <c r="AX128" s="2">
        <v>7</v>
      </c>
      <c r="AY128" s="2">
        <f t="shared" ref="AY128:BA128" si="1693">_xlfn.RANK.EQ(AX128, AX$7:AX$375,0)</f>
        <v>138</v>
      </c>
      <c r="AZ128" s="2">
        <v>11</v>
      </c>
      <c r="BA128" s="2">
        <f t="shared" si="1693"/>
        <v>132</v>
      </c>
      <c r="BB128" s="2">
        <v>160</v>
      </c>
      <c r="BC128" s="2">
        <f t="shared" ref="BC128:BE128" si="1694">_xlfn.RANK.EQ(BB128, BB$7:BB$375,0)</f>
        <v>9</v>
      </c>
      <c r="BD128" s="2">
        <v>129</v>
      </c>
      <c r="BE128" s="2">
        <f t="shared" si="1694"/>
        <v>87</v>
      </c>
      <c r="BF128" s="2">
        <v>302</v>
      </c>
      <c r="BG128" s="2">
        <f t="shared" ref="BG128:BI128" si="1695">_xlfn.RANK.EQ(BF128, BF$7:BF$375,0)</f>
        <v>142</v>
      </c>
      <c r="BH128" s="2">
        <v>12</v>
      </c>
      <c r="BI128" s="2">
        <f t="shared" si="1695"/>
        <v>127</v>
      </c>
    </row>
    <row r="129" spans="1:61" x14ac:dyDescent="0.55000000000000004">
      <c r="A129" s="2">
        <v>122</v>
      </c>
      <c r="B129" s="2" t="s">
        <v>179</v>
      </c>
      <c r="C129" s="2" t="s">
        <v>89</v>
      </c>
      <c r="D129" s="2">
        <v>60</v>
      </c>
      <c r="E129" s="2">
        <f t="shared" si="897"/>
        <v>1</v>
      </c>
      <c r="F129" s="2">
        <v>9</v>
      </c>
      <c r="G129" s="2">
        <f t="shared" ref="G129:I129" si="1696">_xlfn.RANK.EQ(F129, F$7:F$375,0)</f>
        <v>206</v>
      </c>
      <c r="H129" s="3">
        <v>46.108333333333334</v>
      </c>
      <c r="I129" s="2">
        <f t="shared" si="1696"/>
        <v>127</v>
      </c>
      <c r="J129" s="5">
        <v>0.7680555555555556</v>
      </c>
      <c r="K129" s="2">
        <f t="shared" ref="K129:M129" si="1697">_xlfn.RANK.EQ(J129, J$7:J$375,0)</f>
        <v>175</v>
      </c>
      <c r="L129" s="2">
        <v>382</v>
      </c>
      <c r="M129" s="2">
        <f t="shared" si="1697"/>
        <v>122</v>
      </c>
      <c r="N129" s="2">
        <v>141</v>
      </c>
      <c r="O129" s="2">
        <f t="shared" ref="O129:Q129" si="1698">_xlfn.RANK.EQ(N129, N$7:N$375,0)</f>
        <v>122</v>
      </c>
      <c r="P129" s="2">
        <v>318</v>
      </c>
      <c r="Q129" s="2">
        <f t="shared" si="1698"/>
        <v>131</v>
      </c>
      <c r="R129" s="4">
        <v>0.443</v>
      </c>
      <c r="S129" s="2">
        <f t="shared" ref="S129:U129" si="1699">_xlfn.RANK.EQ(R129, R$7:R$375,0)</f>
        <v>129</v>
      </c>
      <c r="T129" s="2">
        <v>99</v>
      </c>
      <c r="U129" s="2">
        <f t="shared" si="1699"/>
        <v>108</v>
      </c>
      <c r="V129" s="2">
        <v>177</v>
      </c>
      <c r="W129" s="2">
        <f t="shared" ref="W129:Y129" si="1700">_xlfn.RANK.EQ(V129, V$7:V$375,0)</f>
        <v>116</v>
      </c>
      <c r="X129" s="4">
        <v>0.55900000000000005</v>
      </c>
      <c r="Y129" s="2">
        <f t="shared" si="1700"/>
        <v>97</v>
      </c>
      <c r="Z129" s="2">
        <v>42</v>
      </c>
      <c r="AA129" s="2">
        <f t="shared" ref="AA129:AC129" si="1701">_xlfn.RANK.EQ(Z129, Z$7:Z$375,0)</f>
        <v>142</v>
      </c>
      <c r="AB129" s="2">
        <v>141</v>
      </c>
      <c r="AC129" s="2">
        <f t="shared" si="1701"/>
        <v>130</v>
      </c>
      <c r="AD129" s="4">
        <v>0.29799999999999999</v>
      </c>
      <c r="AE129" s="2">
        <f t="shared" ref="AE129:AG129" si="1702">_xlfn.RANK.EQ(AD129, AD$7:AD$375,0)</f>
        <v>213</v>
      </c>
      <c r="AF129" s="2">
        <v>58</v>
      </c>
      <c r="AG129" s="2">
        <f t="shared" si="1702"/>
        <v>111</v>
      </c>
      <c r="AH129" s="2">
        <v>81</v>
      </c>
      <c r="AI129" s="2">
        <f t="shared" ref="AI129:AK129" si="1703">_xlfn.RANK.EQ(AH129, AH$7:AH$375,0)</f>
        <v>117</v>
      </c>
      <c r="AJ129" s="4">
        <v>0.71599999999999997</v>
      </c>
      <c r="AK129" s="2">
        <f t="shared" si="1703"/>
        <v>189</v>
      </c>
      <c r="AL129" s="2">
        <v>56</v>
      </c>
      <c r="AM129" s="2">
        <f t="shared" ref="AM129:AO129" si="1704">_xlfn.RANK.EQ(AL129, AL$7:AL$375,0)</f>
        <v>79</v>
      </c>
      <c r="AN129" s="2">
        <v>86</v>
      </c>
      <c r="AO129" s="2">
        <f t="shared" si="1704"/>
        <v>128</v>
      </c>
      <c r="AP129" s="2">
        <v>142</v>
      </c>
      <c r="AQ129" s="2">
        <f t="shared" ref="AQ129:AS129" si="1705">_xlfn.RANK.EQ(AP129, AP$7:AP$375,0)</f>
        <v>108</v>
      </c>
      <c r="AR129" s="2">
        <v>74</v>
      </c>
      <c r="AS129" s="2">
        <f t="shared" si="1705"/>
        <v>172</v>
      </c>
      <c r="AT129" s="2">
        <v>46</v>
      </c>
      <c r="AU129" s="2">
        <f t="shared" ref="AU129:AW129" si="1706">_xlfn.RANK.EQ(AT129, AT$7:AT$375,0)</f>
        <v>154</v>
      </c>
      <c r="AV129" s="2">
        <v>26</v>
      </c>
      <c r="AW129" s="2">
        <f t="shared" si="1706"/>
        <v>168</v>
      </c>
      <c r="AX129" s="2">
        <v>17</v>
      </c>
      <c r="AY129" s="2">
        <f t="shared" ref="AY129:BA129" si="1707">_xlfn.RANK.EQ(AX129, AX$7:AX$375,0)</f>
        <v>72</v>
      </c>
      <c r="AZ129" s="2">
        <v>24</v>
      </c>
      <c r="BA129" s="2">
        <f t="shared" si="1707"/>
        <v>29</v>
      </c>
      <c r="BB129" s="2">
        <v>122</v>
      </c>
      <c r="BC129" s="2">
        <f t="shared" ref="BC129:BE129" si="1708">_xlfn.RANK.EQ(BB129, BB$7:BB$375,0)</f>
        <v>74</v>
      </c>
      <c r="BD129" s="2">
        <v>86</v>
      </c>
      <c r="BE129" s="2">
        <f t="shared" si="1708"/>
        <v>125</v>
      </c>
      <c r="BF129" s="2">
        <v>335</v>
      </c>
      <c r="BG129" s="2">
        <f t="shared" ref="BG129:BI129" si="1709">_xlfn.RANK.EQ(BF129, BF$7:BF$375,0)</f>
        <v>134</v>
      </c>
      <c r="BH129" s="2">
        <v>150</v>
      </c>
      <c r="BI129" s="2">
        <f t="shared" si="1709"/>
        <v>64</v>
      </c>
    </row>
    <row r="130" spans="1:61" x14ac:dyDescent="0.55000000000000004">
      <c r="A130" s="2">
        <v>122</v>
      </c>
      <c r="B130" s="2" t="s">
        <v>180</v>
      </c>
      <c r="C130" s="2" t="s">
        <v>62</v>
      </c>
      <c r="D130" s="2">
        <v>57</v>
      </c>
      <c r="E130" s="2">
        <f t="shared" si="897"/>
        <v>100</v>
      </c>
      <c r="F130" s="2">
        <v>38</v>
      </c>
      <c r="G130" s="2">
        <f t="shared" ref="G130:I130" si="1710">_xlfn.RANK.EQ(F130, F$7:F$375,0)</f>
        <v>91</v>
      </c>
      <c r="H130" s="3">
        <v>52.406944444444441</v>
      </c>
      <c r="I130" s="2">
        <f t="shared" si="1710"/>
        <v>102</v>
      </c>
      <c r="J130" s="5">
        <v>0.91874999999999996</v>
      </c>
      <c r="K130" s="2">
        <f t="shared" ref="K130:M130" si="1711">_xlfn.RANK.EQ(J130, J$7:J$375,0)</f>
        <v>123</v>
      </c>
      <c r="L130" s="2">
        <v>382</v>
      </c>
      <c r="M130" s="2">
        <f t="shared" si="1711"/>
        <v>122</v>
      </c>
      <c r="N130" s="2">
        <v>131</v>
      </c>
      <c r="O130" s="2">
        <f t="shared" ref="O130:Q130" si="1712">_xlfn.RANK.EQ(N130, N$7:N$375,0)</f>
        <v>132</v>
      </c>
      <c r="P130" s="2">
        <v>355</v>
      </c>
      <c r="Q130" s="2">
        <f t="shared" si="1712"/>
        <v>109</v>
      </c>
      <c r="R130" s="4">
        <v>0.36899999999999999</v>
      </c>
      <c r="S130" s="2">
        <f t="shared" ref="S130:U130" si="1713">_xlfn.RANK.EQ(R130, R$7:R$375,0)</f>
        <v>245</v>
      </c>
      <c r="T130" s="2">
        <v>55</v>
      </c>
      <c r="U130" s="2">
        <f t="shared" si="1713"/>
        <v>162</v>
      </c>
      <c r="V130" s="2">
        <v>118</v>
      </c>
      <c r="W130" s="2">
        <f t="shared" ref="W130:Y130" si="1714">_xlfn.RANK.EQ(V130, V$7:V$375,0)</f>
        <v>162</v>
      </c>
      <c r="X130" s="4">
        <v>0.46600000000000003</v>
      </c>
      <c r="Y130" s="2">
        <f t="shared" si="1714"/>
        <v>224</v>
      </c>
      <c r="Z130" s="2">
        <v>76</v>
      </c>
      <c r="AA130" s="2">
        <f t="shared" ref="AA130:AC130" si="1715">_xlfn.RANK.EQ(Z130, Z$7:Z$375,0)</f>
        <v>66</v>
      </c>
      <c r="AB130" s="2">
        <v>237</v>
      </c>
      <c r="AC130" s="2">
        <f t="shared" si="1715"/>
        <v>54</v>
      </c>
      <c r="AD130" s="4">
        <v>0.32100000000000001</v>
      </c>
      <c r="AE130" s="2">
        <f t="shared" ref="AE130:AG130" si="1716">_xlfn.RANK.EQ(AD130, AD$7:AD$375,0)</f>
        <v>179</v>
      </c>
      <c r="AF130" s="2">
        <v>44</v>
      </c>
      <c r="AG130" s="2">
        <f t="shared" si="1716"/>
        <v>139</v>
      </c>
      <c r="AH130" s="2">
        <v>63</v>
      </c>
      <c r="AI130" s="2">
        <f t="shared" ref="AI130:AK130" si="1717">_xlfn.RANK.EQ(AH130, AH$7:AH$375,0)</f>
        <v>138</v>
      </c>
      <c r="AJ130" s="4">
        <v>0.69799999999999995</v>
      </c>
      <c r="AK130" s="2">
        <f t="shared" si="1717"/>
        <v>205</v>
      </c>
      <c r="AL130" s="2">
        <v>43</v>
      </c>
      <c r="AM130" s="2">
        <f t="shared" ref="AM130:AO130" si="1718">_xlfn.RANK.EQ(AL130, AL$7:AL$375,0)</f>
        <v>106</v>
      </c>
      <c r="AN130" s="2">
        <v>100</v>
      </c>
      <c r="AO130" s="2">
        <f t="shared" si="1718"/>
        <v>108</v>
      </c>
      <c r="AP130" s="2">
        <v>143</v>
      </c>
      <c r="AQ130" s="2">
        <f t="shared" ref="AQ130:AS130" si="1719">_xlfn.RANK.EQ(AP130, AP$7:AP$375,0)</f>
        <v>106</v>
      </c>
      <c r="AR130" s="2">
        <v>229</v>
      </c>
      <c r="AS130" s="2">
        <f t="shared" si="1719"/>
        <v>25</v>
      </c>
      <c r="AT130" s="2">
        <v>101</v>
      </c>
      <c r="AU130" s="2">
        <f t="shared" ref="AU130:AW130" si="1720">_xlfn.RANK.EQ(AT130, AT$7:AT$375,0)</f>
        <v>47</v>
      </c>
      <c r="AV130" s="2">
        <v>63</v>
      </c>
      <c r="AW130" s="2">
        <f t="shared" si="1720"/>
        <v>27</v>
      </c>
      <c r="AX130" s="2">
        <v>24</v>
      </c>
      <c r="AY130" s="2">
        <f t="shared" ref="AY130:BA130" si="1721">_xlfn.RANK.EQ(AX130, AX$7:AX$375,0)</f>
        <v>56</v>
      </c>
      <c r="AZ130" s="2">
        <v>9</v>
      </c>
      <c r="BA130" s="2">
        <f t="shared" si="1721"/>
        <v>160</v>
      </c>
      <c r="BB130" s="2">
        <v>145</v>
      </c>
      <c r="BC130" s="2">
        <f t="shared" ref="BC130:BE130" si="1722">_xlfn.RANK.EQ(BB130, BB$7:BB$375,0)</f>
        <v>25</v>
      </c>
      <c r="BD130" s="2">
        <v>111</v>
      </c>
      <c r="BE130" s="2">
        <f t="shared" si="1722"/>
        <v>101</v>
      </c>
      <c r="BF130" s="2">
        <v>453</v>
      </c>
      <c r="BG130" s="2">
        <f t="shared" ref="BG130:BI130" si="1723">_xlfn.RANK.EQ(BF130, BF$7:BF$375,0)</f>
        <v>109</v>
      </c>
      <c r="BH130" s="2">
        <v>24</v>
      </c>
      <c r="BI130" s="2">
        <f t="shared" si="1723"/>
        <v>115</v>
      </c>
    </row>
    <row r="131" spans="1:61" x14ac:dyDescent="0.55000000000000004">
      <c r="A131" s="2">
        <v>125</v>
      </c>
      <c r="B131" s="2" t="s">
        <v>181</v>
      </c>
      <c r="C131" s="2" t="s">
        <v>44</v>
      </c>
      <c r="D131" s="2">
        <v>58</v>
      </c>
      <c r="E131" s="2">
        <f t="shared" si="897"/>
        <v>78</v>
      </c>
      <c r="F131" s="2">
        <v>29</v>
      </c>
      <c r="G131" s="2">
        <f t="shared" ref="G131:I131" si="1724">_xlfn.RANK.EQ(F131, F$7:F$375,0)</f>
        <v>120</v>
      </c>
      <c r="H131" s="3">
        <v>47.351388888888891</v>
      </c>
      <c r="I131" s="2">
        <f t="shared" si="1724"/>
        <v>121</v>
      </c>
      <c r="J131" s="5">
        <v>0.81597222222222221</v>
      </c>
      <c r="K131" s="2">
        <f t="shared" ref="K131:M131" si="1725">_xlfn.RANK.EQ(J131, J$7:J$375,0)</f>
        <v>158</v>
      </c>
      <c r="L131" s="2">
        <v>381</v>
      </c>
      <c r="M131" s="2">
        <f t="shared" si="1725"/>
        <v>125</v>
      </c>
      <c r="N131" s="2">
        <v>148</v>
      </c>
      <c r="O131" s="2">
        <f t="shared" ref="O131:Q131" si="1726">_xlfn.RANK.EQ(N131, N$7:N$375,0)</f>
        <v>117</v>
      </c>
      <c r="P131" s="2">
        <v>340</v>
      </c>
      <c r="Q131" s="2">
        <f t="shared" si="1726"/>
        <v>114</v>
      </c>
      <c r="R131" s="4">
        <v>0.435</v>
      </c>
      <c r="S131" s="2">
        <f t="shared" ref="S131:U131" si="1727">_xlfn.RANK.EQ(R131, R$7:R$375,0)</f>
        <v>139</v>
      </c>
      <c r="T131" s="2">
        <v>145</v>
      </c>
      <c r="U131" s="2">
        <f t="shared" si="1727"/>
        <v>74</v>
      </c>
      <c r="V131" s="2">
        <v>318</v>
      </c>
      <c r="W131" s="2">
        <f t="shared" ref="W131:Y131" si="1728">_xlfn.RANK.EQ(V131, V$7:V$375,0)</f>
        <v>61</v>
      </c>
      <c r="X131" s="4">
        <v>0.45600000000000002</v>
      </c>
      <c r="Y131" s="2">
        <f t="shared" si="1728"/>
        <v>236</v>
      </c>
      <c r="Z131" s="2">
        <v>3</v>
      </c>
      <c r="AA131" s="2">
        <f t="shared" ref="AA131:AC131" si="1729">_xlfn.RANK.EQ(Z131, Z$7:Z$375,0)</f>
        <v>293</v>
      </c>
      <c r="AB131" s="2">
        <v>22</v>
      </c>
      <c r="AC131" s="2">
        <f t="shared" si="1729"/>
        <v>282</v>
      </c>
      <c r="AD131" s="4">
        <v>0.13600000000000001</v>
      </c>
      <c r="AE131" s="2">
        <f t="shared" ref="AE131:AG131" si="1730">_xlfn.RANK.EQ(AD131, AD$7:AD$375,0)</f>
        <v>320</v>
      </c>
      <c r="AF131" s="2">
        <v>82</v>
      </c>
      <c r="AG131" s="2">
        <f t="shared" si="1730"/>
        <v>82</v>
      </c>
      <c r="AH131" s="2">
        <v>121</v>
      </c>
      <c r="AI131" s="2">
        <f t="shared" ref="AI131:AK131" si="1731">_xlfn.RANK.EQ(AH131, AH$7:AH$375,0)</f>
        <v>79</v>
      </c>
      <c r="AJ131" s="4">
        <v>0.67800000000000005</v>
      </c>
      <c r="AK131" s="2">
        <f t="shared" si="1731"/>
        <v>222</v>
      </c>
      <c r="AL131" s="2">
        <v>52</v>
      </c>
      <c r="AM131" s="2">
        <f t="shared" ref="AM131:AO131" si="1732">_xlfn.RANK.EQ(AL131, AL$7:AL$375,0)</f>
        <v>86</v>
      </c>
      <c r="AN131" s="2">
        <v>87</v>
      </c>
      <c r="AO131" s="2">
        <f t="shared" si="1732"/>
        <v>126</v>
      </c>
      <c r="AP131" s="2">
        <v>139</v>
      </c>
      <c r="AQ131" s="2">
        <f t="shared" ref="AQ131:AS131" si="1733">_xlfn.RANK.EQ(AP131, AP$7:AP$375,0)</f>
        <v>110</v>
      </c>
      <c r="AR131" s="2">
        <v>194</v>
      </c>
      <c r="AS131" s="2">
        <f t="shared" si="1733"/>
        <v>39</v>
      </c>
      <c r="AT131" s="2">
        <v>107</v>
      </c>
      <c r="AU131" s="2">
        <f t="shared" ref="AU131:AW131" si="1734">_xlfn.RANK.EQ(AT131, AT$7:AT$375,0)</f>
        <v>42</v>
      </c>
      <c r="AV131" s="2">
        <v>34</v>
      </c>
      <c r="AW131" s="2">
        <f t="shared" si="1734"/>
        <v>129</v>
      </c>
      <c r="AX131" s="2">
        <v>1</v>
      </c>
      <c r="AY131" s="2">
        <f t="shared" ref="AY131:BA131" si="1735">_xlfn.RANK.EQ(AX131, AX$7:AX$375,0)</f>
        <v>265</v>
      </c>
      <c r="AZ131" s="2">
        <v>33</v>
      </c>
      <c r="BA131" s="2">
        <f t="shared" si="1735"/>
        <v>12</v>
      </c>
      <c r="BB131" s="2">
        <v>121</v>
      </c>
      <c r="BC131" s="2">
        <f t="shared" ref="BC131:BE131" si="1736">_xlfn.RANK.EQ(BB131, BB$7:BB$375,0)</f>
        <v>80</v>
      </c>
      <c r="BD131" s="2">
        <v>158</v>
      </c>
      <c r="BE131" s="2">
        <f t="shared" si="1736"/>
        <v>67</v>
      </c>
      <c r="BF131" s="2">
        <v>411</v>
      </c>
      <c r="BG131" s="2">
        <f t="shared" ref="BG131:BI131" si="1737">_xlfn.RANK.EQ(BF131, BF$7:BF$375,0)</f>
        <v>120</v>
      </c>
      <c r="BH131" s="2">
        <v>-340</v>
      </c>
      <c r="BI131" s="2">
        <f t="shared" si="1737"/>
        <v>363</v>
      </c>
    </row>
    <row r="132" spans="1:61" x14ac:dyDescent="0.55000000000000004">
      <c r="A132" s="2">
        <v>126</v>
      </c>
      <c r="B132" s="2" t="s">
        <v>182</v>
      </c>
      <c r="C132" s="2" t="s">
        <v>46</v>
      </c>
      <c r="D132" s="2">
        <v>38</v>
      </c>
      <c r="E132" s="2">
        <f t="shared" si="897"/>
        <v>253</v>
      </c>
      <c r="F132" s="2">
        <v>24</v>
      </c>
      <c r="G132" s="2">
        <f t="shared" ref="G132:I132" si="1738">_xlfn.RANK.EQ(F132, F$7:F$375,0)</f>
        <v>142</v>
      </c>
      <c r="H132" s="3">
        <v>34.329166666666666</v>
      </c>
      <c r="I132" s="2">
        <f t="shared" si="1738"/>
        <v>177</v>
      </c>
      <c r="J132" s="5">
        <v>0.90277777777777779</v>
      </c>
      <c r="K132" s="2">
        <f t="shared" ref="K132:M132" si="1739">_xlfn.RANK.EQ(J132, J$7:J$375,0)</f>
        <v>131</v>
      </c>
      <c r="L132" s="2">
        <v>380</v>
      </c>
      <c r="M132" s="2">
        <f t="shared" si="1739"/>
        <v>126</v>
      </c>
      <c r="N132" s="2">
        <v>149</v>
      </c>
      <c r="O132" s="2">
        <f t="shared" ref="O132:Q132" si="1740">_xlfn.RANK.EQ(N132, N$7:N$375,0)</f>
        <v>115</v>
      </c>
      <c r="P132" s="2">
        <v>268</v>
      </c>
      <c r="Q132" s="2">
        <f t="shared" si="1740"/>
        <v>151</v>
      </c>
      <c r="R132" s="4">
        <v>0.55600000000000005</v>
      </c>
      <c r="S132" s="2">
        <f t="shared" ref="S132:U132" si="1741">_xlfn.RANK.EQ(R132, R$7:R$375,0)</f>
        <v>34</v>
      </c>
      <c r="T132" s="2">
        <v>146</v>
      </c>
      <c r="U132" s="2">
        <f t="shared" si="1741"/>
        <v>73</v>
      </c>
      <c r="V132" s="2">
        <v>254</v>
      </c>
      <c r="W132" s="2">
        <f t="shared" ref="W132:Y132" si="1742">_xlfn.RANK.EQ(V132, V$7:V$375,0)</f>
        <v>84</v>
      </c>
      <c r="X132" s="4">
        <v>0.57499999999999996</v>
      </c>
      <c r="Y132" s="2">
        <f t="shared" si="1742"/>
        <v>78</v>
      </c>
      <c r="Z132" s="2">
        <v>3</v>
      </c>
      <c r="AA132" s="2">
        <f t="shared" ref="AA132:AC132" si="1743">_xlfn.RANK.EQ(Z132, Z$7:Z$375,0)</f>
        <v>293</v>
      </c>
      <c r="AB132" s="2">
        <v>14</v>
      </c>
      <c r="AC132" s="2">
        <f t="shared" si="1743"/>
        <v>297</v>
      </c>
      <c r="AD132" s="4">
        <v>0.214</v>
      </c>
      <c r="AE132" s="2">
        <f t="shared" ref="AE132:AG132" si="1744">_xlfn.RANK.EQ(AD132, AD$7:AD$375,0)</f>
        <v>291</v>
      </c>
      <c r="AF132" s="2">
        <v>79</v>
      </c>
      <c r="AG132" s="2">
        <f t="shared" si="1744"/>
        <v>91</v>
      </c>
      <c r="AH132" s="2">
        <v>138</v>
      </c>
      <c r="AI132" s="2">
        <f t="shared" ref="AI132:AK132" si="1745">_xlfn.RANK.EQ(AH132, AH$7:AH$375,0)</f>
        <v>66</v>
      </c>
      <c r="AJ132" s="4">
        <v>0.57199999999999995</v>
      </c>
      <c r="AK132" s="2">
        <f t="shared" si="1745"/>
        <v>284</v>
      </c>
      <c r="AL132" s="2">
        <v>124</v>
      </c>
      <c r="AM132" s="2">
        <f t="shared" ref="AM132:AO132" si="1746">_xlfn.RANK.EQ(AL132, AL$7:AL$375,0)</f>
        <v>25</v>
      </c>
      <c r="AN132" s="2">
        <v>167</v>
      </c>
      <c r="AO132" s="2">
        <f t="shared" si="1746"/>
        <v>77</v>
      </c>
      <c r="AP132" s="2">
        <v>291</v>
      </c>
      <c r="AQ132" s="2">
        <f t="shared" ref="AQ132:AS132" si="1747">_xlfn.RANK.EQ(AP132, AP$7:AP$375,0)</f>
        <v>64</v>
      </c>
      <c r="AR132" s="2">
        <v>69</v>
      </c>
      <c r="AS132" s="2">
        <f t="shared" si="1747"/>
        <v>177</v>
      </c>
      <c r="AT132" s="2">
        <v>46</v>
      </c>
      <c r="AU132" s="2">
        <f t="shared" ref="AU132:AW132" si="1748">_xlfn.RANK.EQ(AT132, AT$7:AT$375,0)</f>
        <v>154</v>
      </c>
      <c r="AV132" s="2">
        <v>27</v>
      </c>
      <c r="AW132" s="2">
        <f t="shared" si="1748"/>
        <v>163</v>
      </c>
      <c r="AX132" s="2">
        <v>35</v>
      </c>
      <c r="AY132" s="2">
        <f t="shared" ref="AY132:BA132" si="1749">_xlfn.RANK.EQ(AX132, AX$7:AX$375,0)</f>
        <v>34</v>
      </c>
      <c r="AZ132" s="2">
        <v>17</v>
      </c>
      <c r="BA132" s="2">
        <f t="shared" si="1749"/>
        <v>66</v>
      </c>
      <c r="BB132" s="2">
        <v>73</v>
      </c>
      <c r="BC132" s="2">
        <f t="shared" ref="BC132:BE132" si="1750">_xlfn.RANK.EQ(BB132, BB$7:BB$375,0)</f>
        <v>206</v>
      </c>
      <c r="BD132" s="2">
        <v>123</v>
      </c>
      <c r="BE132" s="2">
        <f t="shared" si="1750"/>
        <v>93</v>
      </c>
      <c r="BF132" s="2">
        <v>611</v>
      </c>
      <c r="BG132" s="2">
        <f t="shared" ref="BG132:BI132" si="1751">_xlfn.RANK.EQ(BF132, BF$7:BF$375,0)</f>
        <v>89</v>
      </c>
      <c r="BH132" s="2">
        <v>144</v>
      </c>
      <c r="BI132" s="2">
        <f t="shared" si="1751"/>
        <v>68</v>
      </c>
    </row>
    <row r="133" spans="1:61" x14ac:dyDescent="0.55000000000000004">
      <c r="A133" s="2">
        <v>127</v>
      </c>
      <c r="B133" s="2" t="s">
        <v>183</v>
      </c>
      <c r="C133" s="2" t="s">
        <v>48</v>
      </c>
      <c r="D133" s="2">
        <v>52</v>
      </c>
      <c r="E133" s="2">
        <f t="shared" si="897"/>
        <v>176</v>
      </c>
      <c r="F133" s="2">
        <v>13</v>
      </c>
      <c r="G133" s="2">
        <f t="shared" ref="G133:I133" si="1752">_xlfn.RANK.EQ(F133, F$7:F$375,0)</f>
        <v>186</v>
      </c>
      <c r="H133" s="3">
        <v>41.838194444444447</v>
      </c>
      <c r="I133" s="2">
        <f t="shared" si="1752"/>
        <v>141</v>
      </c>
      <c r="J133" s="5">
        <v>0.8041666666666667</v>
      </c>
      <c r="K133" s="2">
        <f t="shared" ref="K133:M133" si="1753">_xlfn.RANK.EQ(J133, J$7:J$375,0)</f>
        <v>160</v>
      </c>
      <c r="L133" s="2">
        <v>378</v>
      </c>
      <c r="M133" s="2">
        <f t="shared" si="1753"/>
        <v>127</v>
      </c>
      <c r="N133" s="2">
        <v>137</v>
      </c>
      <c r="O133" s="2">
        <f t="shared" ref="O133:Q133" si="1754">_xlfn.RANK.EQ(N133, N$7:N$375,0)</f>
        <v>126</v>
      </c>
      <c r="P133" s="2">
        <v>339</v>
      </c>
      <c r="Q133" s="2">
        <f t="shared" si="1754"/>
        <v>116</v>
      </c>
      <c r="R133" s="4">
        <v>0.40400000000000003</v>
      </c>
      <c r="S133" s="2">
        <f t="shared" ref="S133:U133" si="1755">_xlfn.RANK.EQ(R133, R$7:R$375,0)</f>
        <v>192</v>
      </c>
      <c r="T133" s="2">
        <v>102</v>
      </c>
      <c r="U133" s="2">
        <f t="shared" si="1755"/>
        <v>104</v>
      </c>
      <c r="V133" s="2">
        <v>190</v>
      </c>
      <c r="W133" s="2">
        <f t="shared" ref="W133:Y133" si="1756">_xlfn.RANK.EQ(V133, V$7:V$375,0)</f>
        <v>110</v>
      </c>
      <c r="X133" s="4">
        <v>0.53700000000000003</v>
      </c>
      <c r="Y133" s="2">
        <f t="shared" si="1756"/>
        <v>129</v>
      </c>
      <c r="Z133" s="2">
        <v>35</v>
      </c>
      <c r="AA133" s="2">
        <f t="shared" ref="AA133:AC133" si="1757">_xlfn.RANK.EQ(Z133, Z$7:Z$375,0)</f>
        <v>157</v>
      </c>
      <c r="AB133" s="2">
        <v>149</v>
      </c>
      <c r="AC133" s="2">
        <f t="shared" si="1757"/>
        <v>124</v>
      </c>
      <c r="AD133" s="4">
        <v>0.23499999999999999</v>
      </c>
      <c r="AE133" s="2">
        <f t="shared" ref="AE133:AG133" si="1758">_xlfn.RANK.EQ(AD133, AD$7:AD$375,0)</f>
        <v>278</v>
      </c>
      <c r="AF133" s="2">
        <v>69</v>
      </c>
      <c r="AG133" s="2">
        <f t="shared" si="1758"/>
        <v>101</v>
      </c>
      <c r="AH133" s="2">
        <v>93</v>
      </c>
      <c r="AI133" s="2">
        <f t="shared" ref="AI133:AK133" si="1759">_xlfn.RANK.EQ(AH133, AH$7:AH$375,0)</f>
        <v>102</v>
      </c>
      <c r="AJ133" s="4">
        <v>0.74199999999999999</v>
      </c>
      <c r="AK133" s="2">
        <f t="shared" si="1759"/>
        <v>162</v>
      </c>
      <c r="AL133" s="2">
        <v>24</v>
      </c>
      <c r="AM133" s="2">
        <f t="shared" ref="AM133:AO133" si="1760">_xlfn.RANK.EQ(AL133, AL$7:AL$375,0)</f>
        <v>182</v>
      </c>
      <c r="AN133" s="2">
        <v>53</v>
      </c>
      <c r="AO133" s="2">
        <f t="shared" si="1760"/>
        <v>191</v>
      </c>
      <c r="AP133" s="2">
        <v>77</v>
      </c>
      <c r="AQ133" s="2">
        <f t="shared" ref="AQ133:AS133" si="1761">_xlfn.RANK.EQ(AP133, AP$7:AP$375,0)</f>
        <v>193</v>
      </c>
      <c r="AR133" s="2">
        <v>167</v>
      </c>
      <c r="AS133" s="2">
        <f t="shared" si="1761"/>
        <v>61</v>
      </c>
      <c r="AT133" s="2">
        <v>93</v>
      </c>
      <c r="AU133" s="2">
        <f t="shared" ref="AU133:AW133" si="1762">_xlfn.RANK.EQ(AT133, AT$7:AT$375,0)</f>
        <v>58</v>
      </c>
      <c r="AV133" s="2">
        <v>51</v>
      </c>
      <c r="AW133" s="2">
        <f t="shared" si="1762"/>
        <v>56</v>
      </c>
      <c r="AX133" s="2">
        <v>8</v>
      </c>
      <c r="AY133" s="2">
        <f t="shared" ref="AY133:BA133" si="1763">_xlfn.RANK.EQ(AX133, AX$7:AX$375,0)</f>
        <v>125</v>
      </c>
      <c r="AZ133" s="2">
        <v>21</v>
      </c>
      <c r="BA133" s="2">
        <f t="shared" si="1763"/>
        <v>41</v>
      </c>
      <c r="BB133" s="2">
        <v>119</v>
      </c>
      <c r="BC133" s="2">
        <f t="shared" ref="BC133:BE133" si="1764">_xlfn.RANK.EQ(BB133, BB$7:BB$375,0)</f>
        <v>85</v>
      </c>
      <c r="BD133" s="2">
        <v>112</v>
      </c>
      <c r="BE133" s="2">
        <f t="shared" si="1764"/>
        <v>100</v>
      </c>
      <c r="BF133" s="2">
        <v>334</v>
      </c>
      <c r="BG133" s="2">
        <f t="shared" ref="BG133:BI133" si="1765">_xlfn.RANK.EQ(BF133, BF$7:BF$375,0)</f>
        <v>135</v>
      </c>
      <c r="BH133" s="2">
        <v>-158</v>
      </c>
      <c r="BI133" s="2">
        <f t="shared" si="1765"/>
        <v>323</v>
      </c>
    </row>
    <row r="134" spans="1:61" x14ac:dyDescent="0.55000000000000004">
      <c r="A134" s="2">
        <v>127</v>
      </c>
      <c r="B134" s="2" t="s">
        <v>184</v>
      </c>
      <c r="C134" s="2" t="s">
        <v>64</v>
      </c>
      <c r="D134" s="2">
        <v>59</v>
      </c>
      <c r="E134" s="2">
        <f t="shared" si="897"/>
        <v>58</v>
      </c>
      <c r="F134" s="2">
        <v>47</v>
      </c>
      <c r="G134" s="2">
        <f t="shared" ref="G134:I134" si="1766">_xlfn.RANK.EQ(F134, F$7:F$375,0)</f>
        <v>61</v>
      </c>
      <c r="H134" s="3">
        <v>56.149305555555557</v>
      </c>
      <c r="I134" s="2">
        <f t="shared" si="1766"/>
        <v>79</v>
      </c>
      <c r="J134" s="5">
        <v>0.95138888888888884</v>
      </c>
      <c r="K134" s="2">
        <f t="shared" ref="K134:M134" si="1767">_xlfn.RANK.EQ(J134, J$7:J$375,0)</f>
        <v>107</v>
      </c>
      <c r="L134" s="2">
        <v>378</v>
      </c>
      <c r="M134" s="2">
        <f t="shared" si="1767"/>
        <v>127</v>
      </c>
      <c r="N134" s="2">
        <v>155</v>
      </c>
      <c r="O134" s="2">
        <f t="shared" ref="O134:Q134" si="1768">_xlfn.RANK.EQ(N134, N$7:N$375,0)</f>
        <v>107</v>
      </c>
      <c r="P134" s="2">
        <v>319</v>
      </c>
      <c r="Q134" s="2">
        <f t="shared" si="1768"/>
        <v>127</v>
      </c>
      <c r="R134" s="4">
        <v>0.48599999999999999</v>
      </c>
      <c r="S134" s="2">
        <f t="shared" ref="S134:U134" si="1769">_xlfn.RANK.EQ(R134, R$7:R$375,0)</f>
        <v>81</v>
      </c>
      <c r="T134" s="2">
        <v>119</v>
      </c>
      <c r="U134" s="2">
        <f t="shared" si="1769"/>
        <v>95</v>
      </c>
      <c r="V134" s="2">
        <v>218</v>
      </c>
      <c r="W134" s="2">
        <f t="shared" ref="W134:Y134" si="1770">_xlfn.RANK.EQ(V134, V$7:V$375,0)</f>
        <v>97</v>
      </c>
      <c r="X134" s="4">
        <v>0.54600000000000004</v>
      </c>
      <c r="Y134" s="2">
        <f t="shared" si="1770"/>
        <v>116</v>
      </c>
      <c r="Z134" s="2">
        <v>36</v>
      </c>
      <c r="AA134" s="2">
        <f t="shared" ref="AA134:AC134" si="1771">_xlfn.RANK.EQ(Z134, Z$7:Z$375,0)</f>
        <v>155</v>
      </c>
      <c r="AB134" s="2">
        <v>101</v>
      </c>
      <c r="AC134" s="2">
        <f t="shared" si="1771"/>
        <v>166</v>
      </c>
      <c r="AD134" s="4">
        <v>0.35599999999999998</v>
      </c>
      <c r="AE134" s="2">
        <f t="shared" ref="AE134:AG134" si="1772">_xlfn.RANK.EQ(AD134, AD$7:AD$375,0)</f>
        <v>103</v>
      </c>
      <c r="AF134" s="2">
        <v>32</v>
      </c>
      <c r="AG134" s="2">
        <f t="shared" si="1772"/>
        <v>163</v>
      </c>
      <c r="AH134" s="2">
        <v>53</v>
      </c>
      <c r="AI134" s="2">
        <f t="shared" ref="AI134:AK134" si="1773">_xlfn.RANK.EQ(AH134, AH$7:AH$375,0)</f>
        <v>151</v>
      </c>
      <c r="AJ134" s="4">
        <v>0.60399999999999998</v>
      </c>
      <c r="AK134" s="2">
        <f t="shared" si="1773"/>
        <v>272</v>
      </c>
      <c r="AL134" s="2">
        <v>40</v>
      </c>
      <c r="AM134" s="2">
        <f t="shared" ref="AM134:AO134" si="1774">_xlfn.RANK.EQ(AL134, AL$7:AL$375,0)</f>
        <v>110</v>
      </c>
      <c r="AN134" s="2">
        <v>92</v>
      </c>
      <c r="AO134" s="2">
        <f t="shared" si="1774"/>
        <v>118</v>
      </c>
      <c r="AP134" s="2">
        <v>132</v>
      </c>
      <c r="AQ134" s="2">
        <f t="shared" ref="AQ134:AS134" si="1775">_xlfn.RANK.EQ(AP134, AP$7:AP$375,0)</f>
        <v>118</v>
      </c>
      <c r="AR134" s="2">
        <v>151</v>
      </c>
      <c r="AS134" s="2">
        <f t="shared" si="1775"/>
        <v>71</v>
      </c>
      <c r="AT134" s="2">
        <v>68</v>
      </c>
      <c r="AU134" s="2">
        <f t="shared" ref="AU134:AW134" si="1776">_xlfn.RANK.EQ(AT134, AT$7:AT$375,0)</f>
        <v>101</v>
      </c>
      <c r="AV134" s="2">
        <v>24</v>
      </c>
      <c r="AW134" s="2">
        <f t="shared" si="1776"/>
        <v>180</v>
      </c>
      <c r="AX134" s="2">
        <v>6</v>
      </c>
      <c r="AY134" s="2">
        <f t="shared" ref="AY134:BA134" si="1777">_xlfn.RANK.EQ(AX134, AX$7:AX$375,0)</f>
        <v>156</v>
      </c>
      <c r="AZ134" s="2">
        <v>13</v>
      </c>
      <c r="BA134" s="2">
        <f t="shared" si="1777"/>
        <v>114</v>
      </c>
      <c r="BB134" s="2">
        <v>105</v>
      </c>
      <c r="BC134" s="2">
        <f t="shared" ref="BC134:BE134" si="1778">_xlfn.RANK.EQ(BB134, BB$7:BB$375,0)</f>
        <v>127</v>
      </c>
      <c r="BD134" s="2">
        <v>95</v>
      </c>
      <c r="BE134" s="2">
        <f t="shared" si="1778"/>
        <v>118</v>
      </c>
      <c r="BF134" s="2">
        <v>415</v>
      </c>
      <c r="BG134" s="2">
        <f t="shared" ref="BG134:BI134" si="1779">_xlfn.RANK.EQ(BF134, BF$7:BF$375,0)</f>
        <v>117</v>
      </c>
      <c r="BH134" s="2">
        <v>175</v>
      </c>
      <c r="BI134" s="2">
        <f t="shared" si="1779"/>
        <v>54</v>
      </c>
    </row>
    <row r="135" spans="1:61" x14ac:dyDescent="0.55000000000000004">
      <c r="A135" s="2">
        <v>127</v>
      </c>
      <c r="B135" s="2" t="s">
        <v>185</v>
      </c>
      <c r="C135" s="2" t="s">
        <v>62</v>
      </c>
      <c r="D135" s="2">
        <v>27</v>
      </c>
      <c r="E135" s="2">
        <f t="shared" si="897"/>
        <v>294</v>
      </c>
      <c r="F135" s="2">
        <v>21</v>
      </c>
      <c r="G135" s="2">
        <f t="shared" ref="G135:I135" si="1780">_xlfn.RANK.EQ(F135, F$7:F$375,0)</f>
        <v>146</v>
      </c>
      <c r="H135" s="3">
        <v>27.828472222222221</v>
      </c>
      <c r="I135" s="2">
        <f t="shared" si="1780"/>
        <v>216</v>
      </c>
      <c r="J135" s="3">
        <v>1.0305555555555554</v>
      </c>
      <c r="K135" s="2">
        <f t="shared" ref="K135:M135" si="1781">_xlfn.RANK.EQ(J135, J$7:J$375,0)</f>
        <v>83</v>
      </c>
      <c r="L135" s="2">
        <v>378</v>
      </c>
      <c r="M135" s="2">
        <f t="shared" si="1781"/>
        <v>127</v>
      </c>
      <c r="N135" s="2">
        <v>136</v>
      </c>
      <c r="O135" s="2">
        <f t="shared" ref="O135:Q135" si="1782">_xlfn.RANK.EQ(N135, N$7:N$375,0)</f>
        <v>128</v>
      </c>
      <c r="P135" s="2">
        <v>326</v>
      </c>
      <c r="Q135" s="2">
        <f t="shared" si="1782"/>
        <v>123</v>
      </c>
      <c r="R135" s="4">
        <v>0.41699999999999998</v>
      </c>
      <c r="S135" s="2">
        <f t="shared" ref="S135:U135" si="1783">_xlfn.RANK.EQ(R135, R$7:R$375,0)</f>
        <v>168</v>
      </c>
      <c r="T135" s="2">
        <v>79</v>
      </c>
      <c r="U135" s="2">
        <f t="shared" si="1783"/>
        <v>121</v>
      </c>
      <c r="V135" s="2">
        <v>170</v>
      </c>
      <c r="W135" s="2">
        <f t="shared" ref="W135:Y135" si="1784">_xlfn.RANK.EQ(V135, V$7:V$375,0)</f>
        <v>119</v>
      </c>
      <c r="X135" s="4">
        <v>0.46500000000000002</v>
      </c>
      <c r="Y135" s="2">
        <f t="shared" si="1784"/>
        <v>225</v>
      </c>
      <c r="Z135" s="2">
        <v>57</v>
      </c>
      <c r="AA135" s="2">
        <f t="shared" ref="AA135:AC135" si="1785">_xlfn.RANK.EQ(Z135, Z$7:Z$375,0)</f>
        <v>100</v>
      </c>
      <c r="AB135" s="2">
        <v>156</v>
      </c>
      <c r="AC135" s="2">
        <f t="shared" si="1785"/>
        <v>117</v>
      </c>
      <c r="AD135" s="4">
        <v>0.36499999999999999</v>
      </c>
      <c r="AE135" s="2">
        <f t="shared" ref="AE135:AG135" si="1786">_xlfn.RANK.EQ(AD135, AD$7:AD$375,0)</f>
        <v>88</v>
      </c>
      <c r="AF135" s="2">
        <v>49</v>
      </c>
      <c r="AG135" s="2">
        <f t="shared" si="1786"/>
        <v>130</v>
      </c>
      <c r="AH135" s="2">
        <v>62</v>
      </c>
      <c r="AI135" s="2">
        <f t="shared" ref="AI135:AK135" si="1787">_xlfn.RANK.EQ(AH135, AH$7:AH$375,0)</f>
        <v>140</v>
      </c>
      <c r="AJ135" s="4">
        <v>0.79</v>
      </c>
      <c r="AK135" s="2">
        <f t="shared" si="1787"/>
        <v>99</v>
      </c>
      <c r="AL135" s="2">
        <v>31</v>
      </c>
      <c r="AM135" s="2">
        <f t="shared" ref="AM135:AO135" si="1788">_xlfn.RANK.EQ(AL135, AL$7:AL$375,0)</f>
        <v>143</v>
      </c>
      <c r="AN135" s="2">
        <v>80</v>
      </c>
      <c r="AO135" s="2">
        <f t="shared" si="1788"/>
        <v>144</v>
      </c>
      <c r="AP135" s="2">
        <v>111</v>
      </c>
      <c r="AQ135" s="2">
        <f t="shared" ref="AQ135:AS135" si="1789">_xlfn.RANK.EQ(AP135, AP$7:AP$375,0)</f>
        <v>142</v>
      </c>
      <c r="AR135" s="2">
        <v>58</v>
      </c>
      <c r="AS135" s="2">
        <f t="shared" si="1789"/>
        <v>204</v>
      </c>
      <c r="AT135" s="2">
        <v>53</v>
      </c>
      <c r="AU135" s="2">
        <f t="shared" ref="AU135:AW135" si="1790">_xlfn.RANK.EQ(AT135, AT$7:AT$375,0)</f>
        <v>141</v>
      </c>
      <c r="AV135" s="2">
        <v>17</v>
      </c>
      <c r="AW135" s="2">
        <f t="shared" si="1790"/>
        <v>227</v>
      </c>
      <c r="AX135" s="2">
        <v>6</v>
      </c>
      <c r="AY135" s="2">
        <f t="shared" ref="AY135:BA135" si="1791">_xlfn.RANK.EQ(AX135, AX$7:AX$375,0)</f>
        <v>156</v>
      </c>
      <c r="AZ135" s="2">
        <v>2</v>
      </c>
      <c r="BA135" s="2">
        <f t="shared" si="1791"/>
        <v>285</v>
      </c>
      <c r="BB135" s="2">
        <v>59</v>
      </c>
      <c r="BC135" s="2">
        <f t="shared" ref="BC135:BE135" si="1792">_xlfn.RANK.EQ(BB135, BB$7:BB$375,0)</f>
        <v>246</v>
      </c>
      <c r="BD135" s="2">
        <v>53</v>
      </c>
      <c r="BE135" s="2">
        <f t="shared" si="1792"/>
        <v>170</v>
      </c>
      <c r="BF135" s="2">
        <v>306</v>
      </c>
      <c r="BG135" s="2">
        <f t="shared" ref="BG135:BI135" si="1793">_xlfn.RANK.EQ(BF135, BF$7:BF$375,0)</f>
        <v>139</v>
      </c>
      <c r="BH135" s="2">
        <v>74</v>
      </c>
      <c r="BI135" s="2">
        <f t="shared" si="1793"/>
        <v>89</v>
      </c>
    </row>
    <row r="136" spans="1:61" x14ac:dyDescent="0.55000000000000004">
      <c r="A136" s="2">
        <v>130</v>
      </c>
      <c r="B136" s="2" t="s">
        <v>186</v>
      </c>
      <c r="C136" s="2" t="s">
        <v>54</v>
      </c>
      <c r="D136" s="2">
        <v>60</v>
      </c>
      <c r="E136" s="2">
        <f t="shared" ref="E136:E199" si="1794">_xlfn.RANK.EQ(D136, D$7:D$375,0)</f>
        <v>1</v>
      </c>
      <c r="F136" s="2">
        <v>41</v>
      </c>
      <c r="G136" s="2">
        <f t="shared" ref="G136:I136" si="1795">_xlfn.RANK.EQ(F136, F$7:F$375,0)</f>
        <v>80</v>
      </c>
      <c r="H136" s="3">
        <v>54.613194444444446</v>
      </c>
      <c r="I136" s="2">
        <f t="shared" si="1795"/>
        <v>89</v>
      </c>
      <c r="J136" s="5">
        <v>0.90972222222222221</v>
      </c>
      <c r="K136" s="2">
        <f t="shared" ref="K136:M136" si="1796">_xlfn.RANK.EQ(J136, J$7:J$375,0)</f>
        <v>127</v>
      </c>
      <c r="L136" s="2">
        <v>376</v>
      </c>
      <c r="M136" s="2">
        <f t="shared" si="1796"/>
        <v>130</v>
      </c>
      <c r="N136" s="2">
        <v>122</v>
      </c>
      <c r="O136" s="2">
        <f t="shared" ref="O136:Q136" si="1797">_xlfn.RANK.EQ(N136, N$7:N$375,0)</f>
        <v>141</v>
      </c>
      <c r="P136" s="2">
        <v>306</v>
      </c>
      <c r="Q136" s="2">
        <f t="shared" si="1797"/>
        <v>136</v>
      </c>
      <c r="R136" s="4">
        <v>0.39900000000000002</v>
      </c>
      <c r="S136" s="2">
        <f t="shared" ref="S136:U136" si="1798">_xlfn.RANK.EQ(R136, R$7:R$375,0)</f>
        <v>203</v>
      </c>
      <c r="T136" s="2">
        <v>72</v>
      </c>
      <c r="U136" s="2">
        <f t="shared" si="1798"/>
        <v>135</v>
      </c>
      <c r="V136" s="2">
        <v>119</v>
      </c>
      <c r="W136" s="2">
        <f t="shared" ref="W136:Y136" si="1799">_xlfn.RANK.EQ(V136, V$7:V$375,0)</f>
        <v>160</v>
      </c>
      <c r="X136" s="4">
        <v>0.60499999999999998</v>
      </c>
      <c r="Y136" s="2">
        <f t="shared" si="1799"/>
        <v>52</v>
      </c>
      <c r="Z136" s="2">
        <v>50</v>
      </c>
      <c r="AA136" s="2">
        <f t="shared" ref="AA136:AC136" si="1800">_xlfn.RANK.EQ(Z136, Z$7:Z$375,0)</f>
        <v>124</v>
      </c>
      <c r="AB136" s="2">
        <v>187</v>
      </c>
      <c r="AC136" s="2">
        <f t="shared" si="1800"/>
        <v>86</v>
      </c>
      <c r="AD136" s="4">
        <v>0.26700000000000002</v>
      </c>
      <c r="AE136" s="2">
        <f t="shared" ref="AE136:AG136" si="1801">_xlfn.RANK.EQ(AD136, AD$7:AD$375,0)</f>
        <v>256</v>
      </c>
      <c r="AF136" s="2">
        <v>82</v>
      </c>
      <c r="AG136" s="2">
        <f t="shared" si="1801"/>
        <v>82</v>
      </c>
      <c r="AH136" s="2">
        <v>94</v>
      </c>
      <c r="AI136" s="2">
        <f t="shared" ref="AI136:AK136" si="1802">_xlfn.RANK.EQ(AH136, AH$7:AH$375,0)</f>
        <v>100</v>
      </c>
      <c r="AJ136" s="4">
        <v>0.872</v>
      </c>
      <c r="AK136" s="2">
        <f t="shared" si="1802"/>
        <v>27</v>
      </c>
      <c r="AL136" s="2">
        <v>23</v>
      </c>
      <c r="AM136" s="2">
        <f t="shared" ref="AM136:AO136" si="1803">_xlfn.RANK.EQ(AL136, AL$7:AL$375,0)</f>
        <v>185</v>
      </c>
      <c r="AN136" s="2">
        <v>79</v>
      </c>
      <c r="AO136" s="2">
        <f t="shared" si="1803"/>
        <v>146</v>
      </c>
      <c r="AP136" s="2">
        <v>102</v>
      </c>
      <c r="AQ136" s="2">
        <f t="shared" ref="AQ136:AS136" si="1804">_xlfn.RANK.EQ(AP136, AP$7:AP$375,0)</f>
        <v>158</v>
      </c>
      <c r="AR136" s="2">
        <v>280</v>
      </c>
      <c r="AS136" s="2">
        <f t="shared" si="1804"/>
        <v>9</v>
      </c>
      <c r="AT136" s="2">
        <v>124</v>
      </c>
      <c r="AU136" s="2">
        <f t="shared" ref="AU136:AW136" si="1805">_xlfn.RANK.EQ(AT136, AT$7:AT$375,0)</f>
        <v>19</v>
      </c>
      <c r="AV136" s="2">
        <v>47</v>
      </c>
      <c r="AW136" s="2">
        <f t="shared" si="1805"/>
        <v>73</v>
      </c>
      <c r="AX136" s="2">
        <v>3</v>
      </c>
      <c r="AY136" s="2">
        <f t="shared" ref="AY136:BA136" si="1806">_xlfn.RANK.EQ(AX136, AX$7:AX$375,0)</f>
        <v>208</v>
      </c>
      <c r="AZ136" s="2">
        <v>8</v>
      </c>
      <c r="BA136" s="2">
        <f t="shared" si="1806"/>
        <v>181</v>
      </c>
      <c r="BB136" s="2">
        <v>156</v>
      </c>
      <c r="BC136" s="2">
        <f t="shared" ref="BC136:BE136" si="1807">_xlfn.RANK.EQ(BB136, BB$7:BB$375,0)</f>
        <v>11</v>
      </c>
      <c r="BD136" s="2">
        <v>146</v>
      </c>
      <c r="BE136" s="2">
        <f t="shared" si="1807"/>
        <v>74</v>
      </c>
      <c r="BF136" s="2">
        <v>470</v>
      </c>
      <c r="BG136" s="2">
        <f t="shared" ref="BG136:BI136" si="1808">_xlfn.RANK.EQ(BF136, BF$7:BF$375,0)</f>
        <v>107</v>
      </c>
      <c r="BH136" s="2">
        <v>336</v>
      </c>
      <c r="BI136" s="2">
        <f t="shared" si="1808"/>
        <v>18</v>
      </c>
    </row>
    <row r="137" spans="1:61" x14ac:dyDescent="0.55000000000000004">
      <c r="A137" s="2">
        <v>130</v>
      </c>
      <c r="B137" s="2" t="s">
        <v>187</v>
      </c>
      <c r="C137" s="2" t="s">
        <v>57</v>
      </c>
      <c r="D137" s="2">
        <v>59</v>
      </c>
      <c r="E137" s="2">
        <f t="shared" si="1794"/>
        <v>58</v>
      </c>
      <c r="F137" s="2">
        <v>11</v>
      </c>
      <c r="G137" s="2">
        <f t="shared" ref="G137:I137" si="1809">_xlfn.RANK.EQ(F137, F$7:F$375,0)</f>
        <v>197</v>
      </c>
      <c r="H137" s="3">
        <v>54.635416666666664</v>
      </c>
      <c r="I137" s="2">
        <f t="shared" si="1809"/>
        <v>88</v>
      </c>
      <c r="J137" s="5">
        <v>0.92569444444444449</v>
      </c>
      <c r="K137" s="2">
        <f t="shared" ref="K137:M137" si="1810">_xlfn.RANK.EQ(J137, J$7:J$375,0)</f>
        <v>118</v>
      </c>
      <c r="L137" s="2">
        <v>376</v>
      </c>
      <c r="M137" s="2">
        <f t="shared" si="1810"/>
        <v>130</v>
      </c>
      <c r="N137" s="2">
        <v>129</v>
      </c>
      <c r="O137" s="2">
        <f t="shared" ref="O137:Q137" si="1811">_xlfn.RANK.EQ(N137, N$7:N$375,0)</f>
        <v>133</v>
      </c>
      <c r="P137" s="2">
        <v>352</v>
      </c>
      <c r="Q137" s="2">
        <f t="shared" si="1811"/>
        <v>111</v>
      </c>
      <c r="R137" s="4">
        <v>0.36599999999999999</v>
      </c>
      <c r="S137" s="2">
        <f t="shared" ref="S137:U137" si="1812">_xlfn.RANK.EQ(R137, R$7:R$375,0)</f>
        <v>252</v>
      </c>
      <c r="T137" s="2">
        <v>48</v>
      </c>
      <c r="U137" s="2">
        <f t="shared" si="1812"/>
        <v>179</v>
      </c>
      <c r="V137" s="2">
        <v>117</v>
      </c>
      <c r="W137" s="2">
        <f t="shared" ref="W137:Y137" si="1813">_xlfn.RANK.EQ(V137, V$7:V$375,0)</f>
        <v>164</v>
      </c>
      <c r="X137" s="4">
        <v>0.41</v>
      </c>
      <c r="Y137" s="2">
        <f t="shared" si="1813"/>
        <v>285</v>
      </c>
      <c r="Z137" s="2">
        <v>81</v>
      </c>
      <c r="AA137" s="2">
        <f t="shared" ref="AA137:AC137" si="1814">_xlfn.RANK.EQ(Z137, Z$7:Z$375,0)</f>
        <v>59</v>
      </c>
      <c r="AB137" s="2">
        <v>235</v>
      </c>
      <c r="AC137" s="2">
        <f t="shared" si="1814"/>
        <v>57</v>
      </c>
      <c r="AD137" s="4">
        <v>0.34499999999999997</v>
      </c>
      <c r="AE137" s="2">
        <f t="shared" ref="AE137:AG137" si="1815">_xlfn.RANK.EQ(AD137, AD$7:AD$375,0)</f>
        <v>121</v>
      </c>
      <c r="AF137" s="2">
        <v>37</v>
      </c>
      <c r="AG137" s="2">
        <f t="shared" si="1815"/>
        <v>150</v>
      </c>
      <c r="AH137" s="2">
        <v>44</v>
      </c>
      <c r="AI137" s="2">
        <f t="shared" ref="AI137:AK137" si="1816">_xlfn.RANK.EQ(AH137, AH$7:AH$375,0)</f>
        <v>164</v>
      </c>
      <c r="AJ137" s="4">
        <v>0.84099999999999997</v>
      </c>
      <c r="AK137" s="2">
        <f t="shared" si="1816"/>
        <v>42</v>
      </c>
      <c r="AL137" s="2">
        <v>22</v>
      </c>
      <c r="AM137" s="2">
        <f t="shared" ref="AM137:AO137" si="1817">_xlfn.RANK.EQ(AL137, AL$7:AL$375,0)</f>
        <v>188</v>
      </c>
      <c r="AN137" s="2">
        <v>86</v>
      </c>
      <c r="AO137" s="2">
        <f t="shared" si="1817"/>
        <v>128</v>
      </c>
      <c r="AP137" s="2">
        <v>108</v>
      </c>
      <c r="AQ137" s="2">
        <f t="shared" ref="AQ137:AS137" si="1818">_xlfn.RANK.EQ(AP137, AP$7:AP$375,0)</f>
        <v>150</v>
      </c>
      <c r="AR137" s="2">
        <v>233</v>
      </c>
      <c r="AS137" s="2">
        <f t="shared" si="1818"/>
        <v>23</v>
      </c>
      <c r="AT137" s="2">
        <v>109</v>
      </c>
      <c r="AU137" s="2">
        <f t="shared" ref="AU137:AW137" si="1819">_xlfn.RANK.EQ(AT137, AT$7:AT$375,0)</f>
        <v>36</v>
      </c>
      <c r="AV137" s="2">
        <v>46</v>
      </c>
      <c r="AW137" s="2">
        <f t="shared" si="1819"/>
        <v>79</v>
      </c>
      <c r="AX137" s="2">
        <v>0</v>
      </c>
      <c r="AY137" s="2">
        <f t="shared" ref="AY137:BA137" si="1820">_xlfn.RANK.EQ(AX137, AX$7:AX$375,0)</f>
        <v>298</v>
      </c>
      <c r="AZ137" s="2">
        <v>17</v>
      </c>
      <c r="BA137" s="2">
        <f t="shared" si="1820"/>
        <v>66</v>
      </c>
      <c r="BB137" s="2">
        <v>98</v>
      </c>
      <c r="BC137" s="2">
        <f t="shared" ref="BC137:BE137" si="1821">_xlfn.RANK.EQ(BB137, BB$7:BB$375,0)</f>
        <v>144</v>
      </c>
      <c r="BD137" s="2">
        <v>69</v>
      </c>
      <c r="BE137" s="2">
        <f t="shared" si="1821"/>
        <v>141</v>
      </c>
      <c r="BF137" s="2">
        <v>378</v>
      </c>
      <c r="BG137" s="2">
        <f t="shared" ref="BG137:BI137" si="1822">_xlfn.RANK.EQ(BF137, BF$7:BF$375,0)</f>
        <v>128</v>
      </c>
      <c r="BH137" s="2">
        <v>8</v>
      </c>
      <c r="BI137" s="2">
        <f t="shared" si="1822"/>
        <v>134</v>
      </c>
    </row>
    <row r="138" spans="1:61" x14ac:dyDescent="0.55000000000000004">
      <c r="A138" s="2">
        <v>132</v>
      </c>
      <c r="B138" s="2" t="s">
        <v>188</v>
      </c>
      <c r="C138" s="2" t="s">
        <v>86</v>
      </c>
      <c r="D138" s="2">
        <v>60</v>
      </c>
      <c r="E138" s="2">
        <f t="shared" si="1794"/>
        <v>1</v>
      </c>
      <c r="F138" s="2">
        <v>38</v>
      </c>
      <c r="G138" s="2">
        <f t="shared" ref="G138:I138" si="1823">_xlfn.RANK.EQ(F138, F$7:F$375,0)</f>
        <v>91</v>
      </c>
      <c r="H138" s="3">
        <v>47.606944444444444</v>
      </c>
      <c r="I138" s="2">
        <f t="shared" si="1823"/>
        <v>119</v>
      </c>
      <c r="J138" s="5">
        <v>0.79305555555555551</v>
      </c>
      <c r="K138" s="2">
        <f t="shared" ref="K138:M138" si="1824">_xlfn.RANK.EQ(J138, J$7:J$375,0)</f>
        <v>165</v>
      </c>
      <c r="L138" s="2">
        <v>374</v>
      </c>
      <c r="M138" s="2">
        <f t="shared" si="1824"/>
        <v>132</v>
      </c>
      <c r="N138" s="2">
        <v>132</v>
      </c>
      <c r="O138" s="2">
        <f t="shared" ref="O138:Q138" si="1825">_xlfn.RANK.EQ(N138, N$7:N$375,0)</f>
        <v>131</v>
      </c>
      <c r="P138" s="2">
        <v>314</v>
      </c>
      <c r="Q138" s="2">
        <f t="shared" si="1825"/>
        <v>135</v>
      </c>
      <c r="R138" s="4">
        <v>0.42</v>
      </c>
      <c r="S138" s="2">
        <f t="shared" ref="S138:U138" si="1826">_xlfn.RANK.EQ(R138, R$7:R$375,0)</f>
        <v>163</v>
      </c>
      <c r="T138" s="2">
        <v>66</v>
      </c>
      <c r="U138" s="2">
        <f t="shared" si="1826"/>
        <v>146</v>
      </c>
      <c r="V138" s="2">
        <v>133</v>
      </c>
      <c r="W138" s="2">
        <f t="shared" ref="W138:Y138" si="1827">_xlfn.RANK.EQ(V138, V$7:V$375,0)</f>
        <v>149</v>
      </c>
      <c r="X138" s="4">
        <v>0.496</v>
      </c>
      <c r="Y138" s="2">
        <f t="shared" si="1827"/>
        <v>188</v>
      </c>
      <c r="Z138" s="2">
        <v>66</v>
      </c>
      <c r="AA138" s="2">
        <f t="shared" ref="AA138:AC138" si="1828">_xlfn.RANK.EQ(Z138, Z$7:Z$375,0)</f>
        <v>83</v>
      </c>
      <c r="AB138" s="2">
        <v>181</v>
      </c>
      <c r="AC138" s="2">
        <f t="shared" si="1828"/>
        <v>97</v>
      </c>
      <c r="AD138" s="4">
        <v>0.36499999999999999</v>
      </c>
      <c r="AE138" s="2">
        <f t="shared" ref="AE138:AG138" si="1829">_xlfn.RANK.EQ(AD138, AD$7:AD$375,0)</f>
        <v>88</v>
      </c>
      <c r="AF138" s="2">
        <v>44</v>
      </c>
      <c r="AG138" s="2">
        <f t="shared" si="1829"/>
        <v>139</v>
      </c>
      <c r="AH138" s="2">
        <v>55</v>
      </c>
      <c r="AI138" s="2">
        <f t="shared" ref="AI138:AK138" si="1830">_xlfn.RANK.EQ(AH138, AH$7:AH$375,0)</f>
        <v>146</v>
      </c>
      <c r="AJ138" s="4">
        <v>0.8</v>
      </c>
      <c r="AK138" s="2">
        <f t="shared" si="1830"/>
        <v>85</v>
      </c>
      <c r="AL138" s="2">
        <v>14</v>
      </c>
      <c r="AM138" s="2">
        <f t="shared" ref="AM138:AO138" si="1831">_xlfn.RANK.EQ(AL138, AL$7:AL$375,0)</f>
        <v>249</v>
      </c>
      <c r="AN138" s="2">
        <v>61</v>
      </c>
      <c r="AO138" s="2">
        <f t="shared" si="1831"/>
        <v>178</v>
      </c>
      <c r="AP138" s="2">
        <v>75</v>
      </c>
      <c r="AQ138" s="2">
        <f t="shared" ref="AQ138:AS138" si="1832">_xlfn.RANK.EQ(AP138, AP$7:AP$375,0)</f>
        <v>199</v>
      </c>
      <c r="AR138" s="2">
        <v>262</v>
      </c>
      <c r="AS138" s="2">
        <f t="shared" si="1832"/>
        <v>14</v>
      </c>
      <c r="AT138" s="2">
        <v>131</v>
      </c>
      <c r="AU138" s="2">
        <f t="shared" ref="AU138:AW138" si="1833">_xlfn.RANK.EQ(AT138, AT$7:AT$375,0)</f>
        <v>13</v>
      </c>
      <c r="AV138" s="2">
        <v>42</v>
      </c>
      <c r="AW138" s="2">
        <f t="shared" si="1833"/>
        <v>97</v>
      </c>
      <c r="AX138" s="2">
        <v>1</v>
      </c>
      <c r="AY138" s="2">
        <f t="shared" ref="AY138:BA138" si="1834">_xlfn.RANK.EQ(AX138, AX$7:AX$375,0)</f>
        <v>265</v>
      </c>
      <c r="AZ138" s="2">
        <v>15</v>
      </c>
      <c r="BA138" s="2">
        <f t="shared" si="1834"/>
        <v>87</v>
      </c>
      <c r="BB138" s="2">
        <v>157</v>
      </c>
      <c r="BC138" s="2">
        <f t="shared" ref="BC138:BE138" si="1835">_xlfn.RANK.EQ(BB138, BB$7:BB$375,0)</f>
        <v>10</v>
      </c>
      <c r="BD138" s="2">
        <v>101</v>
      </c>
      <c r="BE138" s="2">
        <f t="shared" si="1835"/>
        <v>108</v>
      </c>
      <c r="BF138" s="2">
        <v>359</v>
      </c>
      <c r="BG138" s="2">
        <f t="shared" ref="BG138:BI138" si="1836">_xlfn.RANK.EQ(BF138, BF$7:BF$375,0)</f>
        <v>130</v>
      </c>
      <c r="BH138" s="2">
        <v>-181</v>
      </c>
      <c r="BI138" s="2">
        <f t="shared" si="1836"/>
        <v>333</v>
      </c>
    </row>
    <row r="139" spans="1:61" x14ac:dyDescent="0.55000000000000004">
      <c r="A139" s="2">
        <v>133</v>
      </c>
      <c r="B139" s="2" t="s">
        <v>189</v>
      </c>
      <c r="C139" s="2" t="s">
        <v>44</v>
      </c>
      <c r="D139" s="2">
        <v>58</v>
      </c>
      <c r="E139" s="2">
        <f t="shared" si="1794"/>
        <v>78</v>
      </c>
      <c r="F139" s="2">
        <v>44</v>
      </c>
      <c r="G139" s="2">
        <f t="shared" ref="G139:I139" si="1837">_xlfn.RANK.EQ(F139, F$7:F$375,0)</f>
        <v>67</v>
      </c>
      <c r="H139" s="3">
        <v>58.878472222222221</v>
      </c>
      <c r="I139" s="2">
        <f t="shared" si="1837"/>
        <v>64</v>
      </c>
      <c r="J139" s="3">
        <v>1.0145833333333334</v>
      </c>
      <c r="K139" s="2">
        <f t="shared" ref="K139:M139" si="1838">_xlfn.RANK.EQ(J139, J$7:J$375,0)</f>
        <v>88</v>
      </c>
      <c r="L139" s="2">
        <v>370</v>
      </c>
      <c r="M139" s="2">
        <f t="shared" si="1838"/>
        <v>133</v>
      </c>
      <c r="N139" s="2">
        <v>129</v>
      </c>
      <c r="O139" s="2">
        <f t="shared" ref="O139:Q139" si="1839">_xlfn.RANK.EQ(N139, N$7:N$375,0)</f>
        <v>133</v>
      </c>
      <c r="P139" s="2">
        <v>362</v>
      </c>
      <c r="Q139" s="2">
        <f t="shared" si="1839"/>
        <v>107</v>
      </c>
      <c r="R139" s="4">
        <v>0.35599999999999998</v>
      </c>
      <c r="S139" s="2">
        <f t="shared" ref="S139:U139" si="1840">_xlfn.RANK.EQ(R139, R$7:R$375,0)</f>
        <v>266</v>
      </c>
      <c r="T139" s="2">
        <v>74</v>
      </c>
      <c r="U139" s="2">
        <f t="shared" si="1840"/>
        <v>132</v>
      </c>
      <c r="V139" s="2">
        <v>167</v>
      </c>
      <c r="W139" s="2">
        <f t="shared" ref="W139:Y139" si="1841">_xlfn.RANK.EQ(V139, V$7:V$375,0)</f>
        <v>120</v>
      </c>
      <c r="X139" s="4">
        <v>0.443</v>
      </c>
      <c r="Y139" s="2">
        <f t="shared" si="1841"/>
        <v>252</v>
      </c>
      <c r="Z139" s="2">
        <v>55</v>
      </c>
      <c r="AA139" s="2">
        <f t="shared" ref="AA139:AC139" si="1842">_xlfn.RANK.EQ(Z139, Z$7:Z$375,0)</f>
        <v>107</v>
      </c>
      <c r="AB139" s="2">
        <v>195</v>
      </c>
      <c r="AC139" s="2">
        <f t="shared" si="1842"/>
        <v>79</v>
      </c>
      <c r="AD139" s="4">
        <v>0.28199999999999997</v>
      </c>
      <c r="AE139" s="2">
        <f t="shared" ref="AE139:AG139" si="1843">_xlfn.RANK.EQ(AD139, AD$7:AD$375,0)</f>
        <v>241</v>
      </c>
      <c r="AF139" s="2">
        <v>57</v>
      </c>
      <c r="AG139" s="2">
        <f t="shared" si="1843"/>
        <v>113</v>
      </c>
      <c r="AH139" s="2">
        <v>87</v>
      </c>
      <c r="AI139" s="2">
        <f t="shared" ref="AI139:AK139" si="1844">_xlfn.RANK.EQ(AH139, AH$7:AH$375,0)</f>
        <v>106</v>
      </c>
      <c r="AJ139" s="4">
        <v>0.65500000000000003</v>
      </c>
      <c r="AK139" s="2">
        <f t="shared" si="1844"/>
        <v>244</v>
      </c>
      <c r="AL139" s="2">
        <v>38</v>
      </c>
      <c r="AM139" s="2">
        <f t="shared" ref="AM139:AO139" si="1845">_xlfn.RANK.EQ(AL139, AL$7:AL$375,0)</f>
        <v>119</v>
      </c>
      <c r="AN139" s="2">
        <v>99</v>
      </c>
      <c r="AO139" s="2">
        <f t="shared" si="1845"/>
        <v>110</v>
      </c>
      <c r="AP139" s="2">
        <v>137</v>
      </c>
      <c r="AQ139" s="2">
        <f t="shared" ref="AQ139:AS139" si="1846">_xlfn.RANK.EQ(AP139, AP$7:AP$375,0)</f>
        <v>113</v>
      </c>
      <c r="AR139" s="2">
        <v>231</v>
      </c>
      <c r="AS139" s="2">
        <f t="shared" si="1846"/>
        <v>24</v>
      </c>
      <c r="AT139" s="2">
        <v>94</v>
      </c>
      <c r="AU139" s="2">
        <f t="shared" ref="AU139:AW139" si="1847">_xlfn.RANK.EQ(AT139, AT$7:AT$375,0)</f>
        <v>57</v>
      </c>
      <c r="AV139" s="2">
        <v>56</v>
      </c>
      <c r="AW139" s="2">
        <f t="shared" si="1847"/>
        <v>38</v>
      </c>
      <c r="AX139" s="2">
        <v>5</v>
      </c>
      <c r="AY139" s="2">
        <f t="shared" ref="AY139:BA139" si="1848">_xlfn.RANK.EQ(AX139, AX$7:AX$375,0)</f>
        <v>169</v>
      </c>
      <c r="AZ139" s="2">
        <v>16</v>
      </c>
      <c r="BA139" s="2">
        <f t="shared" si="1848"/>
        <v>80</v>
      </c>
      <c r="BB139" s="2">
        <v>180</v>
      </c>
      <c r="BC139" s="2">
        <f t="shared" ref="BC139:BE139" si="1849">_xlfn.RANK.EQ(BB139, BB$7:BB$375,0)</f>
        <v>2</v>
      </c>
      <c r="BD139" s="2">
        <v>113</v>
      </c>
      <c r="BE139" s="2">
        <f t="shared" si="1849"/>
        <v>97</v>
      </c>
      <c r="BF139" s="2">
        <v>358</v>
      </c>
      <c r="BG139" s="2">
        <f t="shared" ref="BG139:BI139" si="1850">_xlfn.RANK.EQ(BF139, BF$7:BF$375,0)</f>
        <v>131</v>
      </c>
      <c r="BH139" s="2">
        <v>-175</v>
      </c>
      <c r="BI139" s="2">
        <f t="shared" si="1850"/>
        <v>331</v>
      </c>
    </row>
    <row r="140" spans="1:61" x14ac:dyDescent="0.55000000000000004">
      <c r="A140" s="2">
        <v>134</v>
      </c>
      <c r="B140" s="2" t="s">
        <v>190</v>
      </c>
      <c r="C140" s="2" t="s">
        <v>106</v>
      </c>
      <c r="D140" s="2">
        <v>59</v>
      </c>
      <c r="E140" s="2">
        <f t="shared" si="1794"/>
        <v>58</v>
      </c>
      <c r="F140" s="2">
        <v>44</v>
      </c>
      <c r="G140" s="2">
        <f t="shared" ref="G140:I140" si="1851">_xlfn.RANK.EQ(F140, F$7:F$375,0)</f>
        <v>67</v>
      </c>
      <c r="H140" s="3">
        <v>59.273611111111109</v>
      </c>
      <c r="I140" s="2">
        <f t="shared" si="1851"/>
        <v>61</v>
      </c>
      <c r="J140" s="3">
        <v>1.0041666666666667</v>
      </c>
      <c r="K140" s="2">
        <f t="shared" ref="K140:M140" si="1852">_xlfn.RANK.EQ(J140, J$7:J$375,0)</f>
        <v>91</v>
      </c>
      <c r="L140" s="2">
        <v>369</v>
      </c>
      <c r="M140" s="2">
        <f t="shared" si="1852"/>
        <v>134</v>
      </c>
      <c r="N140" s="2">
        <v>142</v>
      </c>
      <c r="O140" s="2">
        <f t="shared" ref="O140:Q140" si="1853">_xlfn.RANK.EQ(N140, N$7:N$375,0)</f>
        <v>121</v>
      </c>
      <c r="P140" s="2">
        <v>329</v>
      </c>
      <c r="Q140" s="2">
        <f t="shared" si="1853"/>
        <v>121</v>
      </c>
      <c r="R140" s="4">
        <v>0.432</v>
      </c>
      <c r="S140" s="2">
        <f t="shared" ref="S140:U140" si="1854">_xlfn.RANK.EQ(R140, R$7:R$375,0)</f>
        <v>144</v>
      </c>
      <c r="T140" s="2">
        <v>97</v>
      </c>
      <c r="U140" s="2">
        <f t="shared" si="1854"/>
        <v>110</v>
      </c>
      <c r="V140" s="2">
        <v>199</v>
      </c>
      <c r="W140" s="2">
        <f t="shared" ref="W140:Y140" si="1855">_xlfn.RANK.EQ(V140, V$7:V$375,0)</f>
        <v>105</v>
      </c>
      <c r="X140" s="4">
        <v>0.48699999999999999</v>
      </c>
      <c r="Y140" s="2">
        <f t="shared" si="1855"/>
        <v>200</v>
      </c>
      <c r="Z140" s="2">
        <v>45</v>
      </c>
      <c r="AA140" s="2">
        <f t="shared" ref="AA140:AC140" si="1856">_xlfn.RANK.EQ(Z140, Z$7:Z$375,0)</f>
        <v>133</v>
      </c>
      <c r="AB140" s="2">
        <v>130</v>
      </c>
      <c r="AC140" s="2">
        <f t="shared" si="1856"/>
        <v>140</v>
      </c>
      <c r="AD140" s="4">
        <v>0.34599999999999997</v>
      </c>
      <c r="AE140" s="2">
        <f t="shared" ref="AE140:AG140" si="1857">_xlfn.RANK.EQ(AD140, AD$7:AD$375,0)</f>
        <v>119</v>
      </c>
      <c r="AF140" s="2">
        <v>40</v>
      </c>
      <c r="AG140" s="2">
        <f t="shared" si="1857"/>
        <v>143</v>
      </c>
      <c r="AH140" s="2">
        <v>55</v>
      </c>
      <c r="AI140" s="2">
        <f t="shared" ref="AI140:AK140" si="1858">_xlfn.RANK.EQ(AH140, AH$7:AH$375,0)</f>
        <v>146</v>
      </c>
      <c r="AJ140" s="4">
        <v>0.72699999999999998</v>
      </c>
      <c r="AK140" s="2">
        <f t="shared" si="1858"/>
        <v>176</v>
      </c>
      <c r="AL140" s="2">
        <v>40</v>
      </c>
      <c r="AM140" s="2">
        <f t="shared" ref="AM140:AO140" si="1859">_xlfn.RANK.EQ(AL140, AL$7:AL$375,0)</f>
        <v>110</v>
      </c>
      <c r="AN140" s="2">
        <v>108</v>
      </c>
      <c r="AO140" s="2">
        <f t="shared" si="1859"/>
        <v>101</v>
      </c>
      <c r="AP140" s="2">
        <v>148</v>
      </c>
      <c r="AQ140" s="2">
        <f t="shared" ref="AQ140:AS140" si="1860">_xlfn.RANK.EQ(AP140, AP$7:AP$375,0)</f>
        <v>101</v>
      </c>
      <c r="AR140" s="2">
        <v>243</v>
      </c>
      <c r="AS140" s="2">
        <f t="shared" si="1860"/>
        <v>19</v>
      </c>
      <c r="AT140" s="2">
        <v>121</v>
      </c>
      <c r="AU140" s="2">
        <f t="shared" ref="AU140:AW140" si="1861">_xlfn.RANK.EQ(AT140, AT$7:AT$375,0)</f>
        <v>23</v>
      </c>
      <c r="AV140" s="2">
        <v>52</v>
      </c>
      <c r="AW140" s="2">
        <f t="shared" si="1861"/>
        <v>51</v>
      </c>
      <c r="AX140" s="2">
        <v>5</v>
      </c>
      <c r="AY140" s="2">
        <f t="shared" ref="AY140:BA140" si="1862">_xlfn.RANK.EQ(AX140, AX$7:AX$375,0)</f>
        <v>169</v>
      </c>
      <c r="AZ140" s="2">
        <v>18</v>
      </c>
      <c r="BA140" s="2">
        <f t="shared" si="1862"/>
        <v>61</v>
      </c>
      <c r="BB140" s="2">
        <v>144</v>
      </c>
      <c r="BC140" s="2">
        <f t="shared" ref="BC140:BE140" si="1863">_xlfn.RANK.EQ(BB140, BB$7:BB$375,0)</f>
        <v>26</v>
      </c>
      <c r="BD140" s="2">
        <v>103</v>
      </c>
      <c r="BE140" s="2">
        <f t="shared" si="1863"/>
        <v>107</v>
      </c>
      <c r="BF140" s="2">
        <v>435</v>
      </c>
      <c r="BG140" s="2">
        <f t="shared" ref="BG140:BI140" si="1864">_xlfn.RANK.EQ(BF140, BF$7:BF$375,0)</f>
        <v>114</v>
      </c>
      <c r="BH140" s="2">
        <v>-100</v>
      </c>
      <c r="BI140" s="2">
        <f t="shared" si="1864"/>
        <v>279</v>
      </c>
    </row>
    <row r="141" spans="1:61" x14ac:dyDescent="0.55000000000000004">
      <c r="A141" s="2">
        <v>135</v>
      </c>
      <c r="B141" s="2" t="s">
        <v>191</v>
      </c>
      <c r="C141" s="2" t="s">
        <v>84</v>
      </c>
      <c r="D141" s="2">
        <v>28</v>
      </c>
      <c r="E141" s="2">
        <f t="shared" si="1794"/>
        <v>289</v>
      </c>
      <c r="F141" s="2">
        <v>27</v>
      </c>
      <c r="G141" s="2">
        <f t="shared" ref="G141:I141" si="1865">_xlfn.RANK.EQ(F141, F$7:F$375,0)</f>
        <v>127</v>
      </c>
      <c r="H141" s="3">
        <v>32.69166666666667</v>
      </c>
      <c r="I141" s="2">
        <f t="shared" si="1865"/>
        <v>190</v>
      </c>
      <c r="J141" s="3">
        <v>1.1673611111111111</v>
      </c>
      <c r="K141" s="2">
        <f t="shared" ref="K141:M141" si="1866">_xlfn.RANK.EQ(J141, J$7:J$375,0)</f>
        <v>36</v>
      </c>
      <c r="L141" s="2">
        <v>366</v>
      </c>
      <c r="M141" s="2">
        <f t="shared" si="1866"/>
        <v>135</v>
      </c>
      <c r="N141" s="2">
        <v>141</v>
      </c>
      <c r="O141" s="2">
        <f t="shared" ref="O141:Q141" si="1867">_xlfn.RANK.EQ(N141, N$7:N$375,0)</f>
        <v>122</v>
      </c>
      <c r="P141" s="2">
        <v>271</v>
      </c>
      <c r="Q141" s="2">
        <f t="shared" si="1867"/>
        <v>149</v>
      </c>
      <c r="R141" s="4">
        <v>0.52</v>
      </c>
      <c r="S141" s="2">
        <f t="shared" ref="S141:U141" si="1868">_xlfn.RANK.EQ(R141, R$7:R$375,0)</f>
        <v>54</v>
      </c>
      <c r="T141" s="2">
        <v>139</v>
      </c>
      <c r="U141" s="2">
        <f t="shared" si="1868"/>
        <v>76</v>
      </c>
      <c r="V141" s="2">
        <v>261</v>
      </c>
      <c r="W141" s="2">
        <f t="shared" ref="W141:Y141" si="1869">_xlfn.RANK.EQ(V141, V$7:V$375,0)</f>
        <v>81</v>
      </c>
      <c r="X141" s="4">
        <v>0.53300000000000003</v>
      </c>
      <c r="Y141" s="2">
        <f t="shared" si="1869"/>
        <v>134</v>
      </c>
      <c r="Z141" s="2">
        <v>2</v>
      </c>
      <c r="AA141" s="2">
        <f t="shared" ref="AA141:AC141" si="1870">_xlfn.RANK.EQ(Z141, Z$7:Z$375,0)</f>
        <v>304</v>
      </c>
      <c r="AB141" s="2">
        <v>10</v>
      </c>
      <c r="AC141" s="2">
        <f t="shared" si="1870"/>
        <v>306</v>
      </c>
      <c r="AD141" s="4">
        <v>0.2</v>
      </c>
      <c r="AE141" s="2">
        <f t="shared" ref="AE141:AG141" si="1871">_xlfn.RANK.EQ(AD141, AD$7:AD$375,0)</f>
        <v>303</v>
      </c>
      <c r="AF141" s="2">
        <v>82</v>
      </c>
      <c r="AG141" s="2">
        <f t="shared" si="1871"/>
        <v>82</v>
      </c>
      <c r="AH141" s="2">
        <v>121</v>
      </c>
      <c r="AI141" s="2">
        <f t="shared" ref="AI141:AK141" si="1872">_xlfn.RANK.EQ(AH141, AH$7:AH$375,0)</f>
        <v>79</v>
      </c>
      <c r="AJ141" s="4">
        <v>0.67800000000000005</v>
      </c>
      <c r="AK141" s="2">
        <f t="shared" si="1872"/>
        <v>222</v>
      </c>
      <c r="AL141" s="2">
        <v>65</v>
      </c>
      <c r="AM141" s="2">
        <f t="shared" ref="AM141:AO141" si="1873">_xlfn.RANK.EQ(AL141, AL$7:AL$375,0)</f>
        <v>69</v>
      </c>
      <c r="AN141" s="2">
        <v>197</v>
      </c>
      <c r="AO141" s="2">
        <f t="shared" si="1873"/>
        <v>67</v>
      </c>
      <c r="AP141" s="2">
        <v>262</v>
      </c>
      <c r="AQ141" s="2">
        <f t="shared" ref="AQ141:AS141" si="1874">_xlfn.RANK.EQ(AP141, AP$7:AP$375,0)</f>
        <v>72</v>
      </c>
      <c r="AR141" s="2">
        <v>83</v>
      </c>
      <c r="AS141" s="2">
        <f t="shared" si="1874"/>
        <v>157</v>
      </c>
      <c r="AT141" s="2">
        <v>55</v>
      </c>
      <c r="AU141" s="2">
        <f t="shared" ref="AU141:AW141" si="1875">_xlfn.RANK.EQ(AT141, AT$7:AT$375,0)</f>
        <v>131</v>
      </c>
      <c r="AV141" s="2">
        <v>13</v>
      </c>
      <c r="AW141" s="2">
        <f t="shared" si="1875"/>
        <v>252</v>
      </c>
      <c r="AX141" s="2">
        <v>26</v>
      </c>
      <c r="AY141" s="2">
        <f t="shared" ref="AY141:BA141" si="1876">_xlfn.RANK.EQ(AX141, AX$7:AX$375,0)</f>
        <v>48</v>
      </c>
      <c r="AZ141" s="2">
        <v>15</v>
      </c>
      <c r="BA141" s="2">
        <f t="shared" si="1876"/>
        <v>87</v>
      </c>
      <c r="BB141" s="2">
        <v>55</v>
      </c>
      <c r="BC141" s="2">
        <f t="shared" ref="BC141:BE141" si="1877">_xlfn.RANK.EQ(BB141, BB$7:BB$375,0)</f>
        <v>257</v>
      </c>
      <c r="BD141" s="2">
        <v>100</v>
      </c>
      <c r="BE141" s="2">
        <f t="shared" si="1877"/>
        <v>110</v>
      </c>
      <c r="BF141" s="2">
        <v>555</v>
      </c>
      <c r="BG141" s="2">
        <f t="shared" ref="BG141:BI141" si="1878">_xlfn.RANK.EQ(BF141, BF$7:BF$375,0)</f>
        <v>95</v>
      </c>
      <c r="BH141" s="2">
        <v>-31</v>
      </c>
      <c r="BI141" s="2">
        <f t="shared" si="1878"/>
        <v>205</v>
      </c>
    </row>
    <row r="142" spans="1:61" x14ac:dyDescent="0.55000000000000004">
      <c r="A142" s="2">
        <v>136</v>
      </c>
      <c r="B142" s="2" t="s">
        <v>192</v>
      </c>
      <c r="C142" s="2" t="s">
        <v>54</v>
      </c>
      <c r="D142" s="2">
        <v>47</v>
      </c>
      <c r="E142" s="2">
        <f t="shared" si="1794"/>
        <v>207</v>
      </c>
      <c r="F142" s="2">
        <v>19</v>
      </c>
      <c r="G142" s="2">
        <f t="shared" ref="G142:I142" si="1879">_xlfn.RANK.EQ(F142, F$7:F$375,0)</f>
        <v>155</v>
      </c>
      <c r="H142" s="3">
        <v>36.855555555555554</v>
      </c>
      <c r="I142" s="2">
        <f t="shared" si="1879"/>
        <v>164</v>
      </c>
      <c r="J142" s="5">
        <v>0.78402777777777777</v>
      </c>
      <c r="K142" s="2">
        <f t="shared" ref="K142:M142" si="1880">_xlfn.RANK.EQ(J142, J$7:J$375,0)</f>
        <v>169</v>
      </c>
      <c r="L142" s="2">
        <v>362</v>
      </c>
      <c r="M142" s="2">
        <f t="shared" si="1880"/>
        <v>136</v>
      </c>
      <c r="N142" s="2">
        <v>129</v>
      </c>
      <c r="O142" s="2">
        <f t="shared" ref="O142:Q142" si="1881">_xlfn.RANK.EQ(N142, N$7:N$375,0)</f>
        <v>133</v>
      </c>
      <c r="P142" s="2">
        <v>317</v>
      </c>
      <c r="Q142" s="2">
        <f t="shared" si="1881"/>
        <v>132</v>
      </c>
      <c r="R142" s="4">
        <v>0.40699999999999997</v>
      </c>
      <c r="S142" s="2">
        <f t="shared" ref="S142:U142" si="1882">_xlfn.RANK.EQ(R142, R$7:R$375,0)</f>
        <v>185</v>
      </c>
      <c r="T142" s="2">
        <v>77</v>
      </c>
      <c r="U142" s="2">
        <f t="shared" si="1882"/>
        <v>125</v>
      </c>
      <c r="V142" s="2">
        <v>147</v>
      </c>
      <c r="W142" s="2">
        <f t="shared" ref="W142:Y142" si="1883">_xlfn.RANK.EQ(V142, V$7:V$375,0)</f>
        <v>138</v>
      </c>
      <c r="X142" s="4">
        <v>0.52400000000000002</v>
      </c>
      <c r="Y142" s="2">
        <f t="shared" si="1883"/>
        <v>148</v>
      </c>
      <c r="Z142" s="2">
        <v>52</v>
      </c>
      <c r="AA142" s="2">
        <f t="shared" ref="AA142:AC142" si="1884">_xlfn.RANK.EQ(Z142, Z$7:Z$375,0)</f>
        <v>116</v>
      </c>
      <c r="AB142" s="2">
        <v>170</v>
      </c>
      <c r="AC142" s="2">
        <f t="shared" si="1884"/>
        <v>108</v>
      </c>
      <c r="AD142" s="4">
        <v>0.30599999999999999</v>
      </c>
      <c r="AE142" s="2">
        <f t="shared" ref="AE142:AG142" si="1885">_xlfn.RANK.EQ(AD142, AD$7:AD$375,0)</f>
        <v>201</v>
      </c>
      <c r="AF142" s="2">
        <v>52</v>
      </c>
      <c r="AG142" s="2">
        <f t="shared" si="1885"/>
        <v>126</v>
      </c>
      <c r="AH142" s="2">
        <v>69</v>
      </c>
      <c r="AI142" s="2">
        <f t="shared" ref="AI142:AK142" si="1886">_xlfn.RANK.EQ(AH142, AH$7:AH$375,0)</f>
        <v>127</v>
      </c>
      <c r="AJ142" s="4">
        <v>0.754</v>
      </c>
      <c r="AK142" s="2">
        <f t="shared" si="1886"/>
        <v>144</v>
      </c>
      <c r="AL142" s="2">
        <v>25</v>
      </c>
      <c r="AM142" s="2">
        <f t="shared" ref="AM142:AO142" si="1887">_xlfn.RANK.EQ(AL142, AL$7:AL$375,0)</f>
        <v>173</v>
      </c>
      <c r="AN142" s="2">
        <v>64</v>
      </c>
      <c r="AO142" s="2">
        <f t="shared" si="1887"/>
        <v>171</v>
      </c>
      <c r="AP142" s="2">
        <v>89</v>
      </c>
      <c r="AQ142" s="2">
        <f t="shared" ref="AQ142:AS142" si="1888">_xlfn.RANK.EQ(AP142, AP$7:AP$375,0)</f>
        <v>174</v>
      </c>
      <c r="AR142" s="2">
        <v>171</v>
      </c>
      <c r="AS142" s="2">
        <f t="shared" si="1888"/>
        <v>57</v>
      </c>
      <c r="AT142" s="2">
        <v>55</v>
      </c>
      <c r="AU142" s="2">
        <f t="shared" ref="AU142:AW142" si="1889">_xlfn.RANK.EQ(AT142, AT$7:AT$375,0)</f>
        <v>131</v>
      </c>
      <c r="AV142" s="2">
        <v>21</v>
      </c>
      <c r="AW142" s="2">
        <f t="shared" si="1889"/>
        <v>204</v>
      </c>
      <c r="AX142" s="2">
        <v>2</v>
      </c>
      <c r="AY142" s="2">
        <f t="shared" ref="AY142:BA142" si="1890">_xlfn.RANK.EQ(AX142, AX$7:AX$375,0)</f>
        <v>234</v>
      </c>
      <c r="AZ142" s="2">
        <v>10</v>
      </c>
      <c r="BA142" s="2">
        <f t="shared" si="1890"/>
        <v>144</v>
      </c>
      <c r="BB142" s="2">
        <v>72</v>
      </c>
      <c r="BC142" s="2">
        <f t="shared" ref="BC142:BE142" si="1891">_xlfn.RANK.EQ(BB142, BB$7:BB$375,0)</f>
        <v>208</v>
      </c>
      <c r="BD142" s="2">
        <v>100</v>
      </c>
      <c r="BE142" s="2">
        <f t="shared" si="1891"/>
        <v>110</v>
      </c>
      <c r="BF142" s="2">
        <v>403</v>
      </c>
      <c r="BG142" s="2">
        <f t="shared" ref="BG142:BI142" si="1892">_xlfn.RANK.EQ(BF142, BF$7:BF$375,0)</f>
        <v>122</v>
      </c>
      <c r="BH142" s="2">
        <v>73</v>
      </c>
      <c r="BI142" s="2">
        <f t="shared" si="1892"/>
        <v>91</v>
      </c>
    </row>
    <row r="143" spans="1:61" x14ac:dyDescent="0.55000000000000004">
      <c r="A143" s="2">
        <v>137</v>
      </c>
      <c r="B143" s="2" t="s">
        <v>193</v>
      </c>
      <c r="C143" s="2" t="s">
        <v>54</v>
      </c>
      <c r="D143" s="2">
        <v>54</v>
      </c>
      <c r="E143" s="2">
        <f t="shared" si="1794"/>
        <v>155</v>
      </c>
      <c r="F143" s="2">
        <v>1</v>
      </c>
      <c r="G143" s="2">
        <f t="shared" ref="G143:I143" si="1893">_xlfn.RANK.EQ(F143, F$7:F$375,0)</f>
        <v>272</v>
      </c>
      <c r="H143" s="3">
        <v>47.27986111111111</v>
      </c>
      <c r="I143" s="2">
        <f t="shared" si="1893"/>
        <v>122</v>
      </c>
      <c r="J143" s="5">
        <v>0.875</v>
      </c>
      <c r="K143" s="2">
        <f t="shared" ref="K143:M143" si="1894">_xlfn.RANK.EQ(J143, J$7:J$375,0)</f>
        <v>143</v>
      </c>
      <c r="L143" s="2">
        <v>361</v>
      </c>
      <c r="M143" s="2">
        <f t="shared" si="1894"/>
        <v>137</v>
      </c>
      <c r="N143" s="2">
        <v>115</v>
      </c>
      <c r="O143" s="2">
        <f t="shared" ref="O143:Q143" si="1895">_xlfn.RANK.EQ(N143, N$7:N$375,0)</f>
        <v>147</v>
      </c>
      <c r="P143" s="2">
        <v>268</v>
      </c>
      <c r="Q143" s="2">
        <f t="shared" si="1895"/>
        <v>151</v>
      </c>
      <c r="R143" s="4">
        <v>0.42899999999999999</v>
      </c>
      <c r="S143" s="2">
        <f t="shared" ref="S143:U143" si="1896">_xlfn.RANK.EQ(R143, R$7:R$375,0)</f>
        <v>150</v>
      </c>
      <c r="T143" s="2">
        <v>71</v>
      </c>
      <c r="U143" s="2">
        <f t="shared" si="1896"/>
        <v>137</v>
      </c>
      <c r="V143" s="2">
        <v>139</v>
      </c>
      <c r="W143" s="2">
        <f t="shared" ref="W143:Y143" si="1897">_xlfn.RANK.EQ(V143, V$7:V$375,0)</f>
        <v>146</v>
      </c>
      <c r="X143" s="4">
        <v>0.51100000000000001</v>
      </c>
      <c r="Y143" s="2">
        <f t="shared" si="1897"/>
        <v>167</v>
      </c>
      <c r="Z143" s="2">
        <v>44</v>
      </c>
      <c r="AA143" s="2">
        <f t="shared" ref="AA143:AC143" si="1898">_xlfn.RANK.EQ(Z143, Z$7:Z$375,0)</f>
        <v>138</v>
      </c>
      <c r="AB143" s="2">
        <v>129</v>
      </c>
      <c r="AC143" s="2">
        <f t="shared" si="1898"/>
        <v>142</v>
      </c>
      <c r="AD143" s="4">
        <v>0.34100000000000003</v>
      </c>
      <c r="AE143" s="2">
        <f t="shared" ref="AE143:AG143" si="1899">_xlfn.RANK.EQ(AD143, AD$7:AD$375,0)</f>
        <v>131</v>
      </c>
      <c r="AF143" s="2">
        <v>87</v>
      </c>
      <c r="AG143" s="2">
        <f t="shared" si="1899"/>
        <v>75</v>
      </c>
      <c r="AH143" s="2">
        <v>127</v>
      </c>
      <c r="AI143" s="2">
        <f t="shared" ref="AI143:AK143" si="1900">_xlfn.RANK.EQ(AH143, AH$7:AH$375,0)</f>
        <v>71</v>
      </c>
      <c r="AJ143" s="4">
        <v>0.68500000000000005</v>
      </c>
      <c r="AK143" s="2">
        <f t="shared" si="1900"/>
        <v>212</v>
      </c>
      <c r="AL143" s="2">
        <v>69</v>
      </c>
      <c r="AM143" s="2">
        <f t="shared" ref="AM143:AO143" si="1901">_xlfn.RANK.EQ(AL143, AL$7:AL$375,0)</f>
        <v>60</v>
      </c>
      <c r="AN143" s="2">
        <v>242</v>
      </c>
      <c r="AO143" s="2">
        <f t="shared" si="1901"/>
        <v>48</v>
      </c>
      <c r="AP143" s="2">
        <v>311</v>
      </c>
      <c r="AQ143" s="2">
        <f t="shared" ref="AQ143:AS143" si="1902">_xlfn.RANK.EQ(AP143, AP$7:AP$375,0)</f>
        <v>58</v>
      </c>
      <c r="AR143" s="2">
        <v>91</v>
      </c>
      <c r="AS143" s="2">
        <f t="shared" si="1902"/>
        <v>143</v>
      </c>
      <c r="AT143" s="2">
        <v>40</v>
      </c>
      <c r="AU143" s="2">
        <f t="shared" ref="AU143:AW143" si="1903">_xlfn.RANK.EQ(AT143, AT$7:AT$375,0)</f>
        <v>177</v>
      </c>
      <c r="AV143" s="2">
        <v>36</v>
      </c>
      <c r="AW143" s="2">
        <f t="shared" si="1903"/>
        <v>124</v>
      </c>
      <c r="AX143" s="2">
        <v>25</v>
      </c>
      <c r="AY143" s="2">
        <f t="shared" ref="AY143:BA143" si="1904">_xlfn.RANK.EQ(AX143, AX$7:AX$375,0)</f>
        <v>53</v>
      </c>
      <c r="AZ143" s="2">
        <v>11</v>
      </c>
      <c r="BA143" s="2">
        <f t="shared" si="1904"/>
        <v>132</v>
      </c>
      <c r="BB143" s="2">
        <v>82</v>
      </c>
      <c r="BC143" s="2">
        <f t="shared" ref="BC143:BE143" si="1905">_xlfn.RANK.EQ(BB143, BB$7:BB$375,0)</f>
        <v>186</v>
      </c>
      <c r="BD143" s="2">
        <v>141</v>
      </c>
      <c r="BE143" s="2">
        <f t="shared" si="1905"/>
        <v>77</v>
      </c>
      <c r="BF143" s="2">
        <v>638</v>
      </c>
      <c r="BG143" s="2">
        <f t="shared" ref="BG143:BI143" si="1906">_xlfn.RANK.EQ(BF143, BF$7:BF$375,0)</f>
        <v>79</v>
      </c>
      <c r="BH143" s="2">
        <v>35</v>
      </c>
      <c r="BI143" s="2">
        <f t="shared" si="1906"/>
        <v>110</v>
      </c>
    </row>
    <row r="144" spans="1:61" x14ac:dyDescent="0.55000000000000004">
      <c r="A144" s="2">
        <v>138</v>
      </c>
      <c r="B144" s="2" t="s">
        <v>194</v>
      </c>
      <c r="C144" s="2" t="s">
        <v>38</v>
      </c>
      <c r="D144" s="2">
        <v>43</v>
      </c>
      <c r="E144" s="2">
        <f t="shared" si="1794"/>
        <v>234</v>
      </c>
      <c r="F144" s="2">
        <v>25</v>
      </c>
      <c r="G144" s="2">
        <f t="shared" ref="G144:I144" si="1907">_xlfn.RANK.EQ(F144, F$7:F$375,0)</f>
        <v>132</v>
      </c>
      <c r="H144" s="3">
        <v>38.647916666666667</v>
      </c>
      <c r="I144" s="2">
        <f t="shared" si="1907"/>
        <v>155</v>
      </c>
      <c r="J144" s="5">
        <v>0.89861111111111114</v>
      </c>
      <c r="K144" s="2">
        <f t="shared" ref="K144:M144" si="1908">_xlfn.RANK.EQ(J144, J$7:J$375,0)</f>
        <v>133</v>
      </c>
      <c r="L144" s="2">
        <v>359</v>
      </c>
      <c r="M144" s="2">
        <f t="shared" si="1908"/>
        <v>138</v>
      </c>
      <c r="N144" s="2">
        <v>126</v>
      </c>
      <c r="O144" s="2">
        <f t="shared" ref="O144:Q144" si="1909">_xlfn.RANK.EQ(N144, N$7:N$375,0)</f>
        <v>137</v>
      </c>
      <c r="P144" s="2">
        <v>294</v>
      </c>
      <c r="Q144" s="2">
        <f t="shared" si="1909"/>
        <v>139</v>
      </c>
      <c r="R144" s="4">
        <v>0.42899999999999999</v>
      </c>
      <c r="S144" s="2">
        <f t="shared" ref="S144:U144" si="1910">_xlfn.RANK.EQ(R144, R$7:R$375,0)</f>
        <v>150</v>
      </c>
      <c r="T144" s="2">
        <v>75</v>
      </c>
      <c r="U144" s="2">
        <f t="shared" si="1910"/>
        <v>129</v>
      </c>
      <c r="V144" s="2">
        <v>143</v>
      </c>
      <c r="W144" s="2">
        <f t="shared" ref="W144:Y144" si="1911">_xlfn.RANK.EQ(V144, V$7:V$375,0)</f>
        <v>142</v>
      </c>
      <c r="X144" s="4">
        <v>0.52400000000000002</v>
      </c>
      <c r="Y144" s="2">
        <f t="shared" si="1911"/>
        <v>148</v>
      </c>
      <c r="Z144" s="2">
        <v>51</v>
      </c>
      <c r="AA144" s="2">
        <f t="shared" ref="AA144:AC144" si="1912">_xlfn.RANK.EQ(Z144, Z$7:Z$375,0)</f>
        <v>120</v>
      </c>
      <c r="AB144" s="2">
        <v>151</v>
      </c>
      <c r="AC144" s="2">
        <f t="shared" si="1912"/>
        <v>122</v>
      </c>
      <c r="AD144" s="4">
        <v>0.33800000000000002</v>
      </c>
      <c r="AE144" s="2">
        <f t="shared" ref="AE144:AG144" si="1913">_xlfn.RANK.EQ(AD144, AD$7:AD$375,0)</f>
        <v>141</v>
      </c>
      <c r="AF144" s="2">
        <v>56</v>
      </c>
      <c r="AG144" s="2">
        <f t="shared" si="1913"/>
        <v>118</v>
      </c>
      <c r="AH144" s="2">
        <v>82</v>
      </c>
      <c r="AI144" s="2">
        <f t="shared" ref="AI144:AK144" si="1914">_xlfn.RANK.EQ(AH144, AH$7:AH$375,0)</f>
        <v>112</v>
      </c>
      <c r="AJ144" s="4">
        <v>0.68300000000000005</v>
      </c>
      <c r="AK144" s="2">
        <f t="shared" si="1914"/>
        <v>215</v>
      </c>
      <c r="AL144" s="2">
        <v>35</v>
      </c>
      <c r="AM144" s="2">
        <f t="shared" ref="AM144:AO144" si="1915">_xlfn.RANK.EQ(AL144, AL$7:AL$375,0)</f>
        <v>129</v>
      </c>
      <c r="AN144" s="2">
        <v>71</v>
      </c>
      <c r="AO144" s="2">
        <f t="shared" si="1915"/>
        <v>158</v>
      </c>
      <c r="AP144" s="2">
        <v>106</v>
      </c>
      <c r="AQ144" s="2">
        <f t="shared" ref="AQ144:AS144" si="1916">_xlfn.RANK.EQ(AP144, AP$7:AP$375,0)</f>
        <v>153</v>
      </c>
      <c r="AR144" s="2">
        <v>54</v>
      </c>
      <c r="AS144" s="2">
        <f t="shared" si="1916"/>
        <v>208</v>
      </c>
      <c r="AT144" s="2">
        <v>23</v>
      </c>
      <c r="AU144" s="2">
        <f t="shared" ref="AU144:AW144" si="1917">_xlfn.RANK.EQ(AT144, AT$7:AT$375,0)</f>
        <v>241</v>
      </c>
      <c r="AV144" s="2">
        <v>38</v>
      </c>
      <c r="AW144" s="2">
        <f t="shared" si="1917"/>
        <v>115</v>
      </c>
      <c r="AX144" s="2">
        <v>3</v>
      </c>
      <c r="AY144" s="2">
        <f t="shared" ref="AY144:BA144" si="1918">_xlfn.RANK.EQ(AX144, AX$7:AX$375,0)</f>
        <v>208</v>
      </c>
      <c r="AZ144" s="2">
        <v>15</v>
      </c>
      <c r="BA144" s="2">
        <f t="shared" si="1918"/>
        <v>87</v>
      </c>
      <c r="BB144" s="2">
        <v>101</v>
      </c>
      <c r="BC144" s="2">
        <f t="shared" ref="BC144:BE144" si="1919">_xlfn.RANK.EQ(BB144, BB$7:BB$375,0)</f>
        <v>133</v>
      </c>
      <c r="BD144" s="2">
        <v>64</v>
      </c>
      <c r="BE144" s="2">
        <f t="shared" si="1919"/>
        <v>150</v>
      </c>
      <c r="BF144" s="2">
        <v>291</v>
      </c>
      <c r="BG144" s="2">
        <f t="shared" ref="BG144:BI144" si="1920">_xlfn.RANK.EQ(BF144, BF$7:BF$375,0)</f>
        <v>151</v>
      </c>
      <c r="BH144" s="2">
        <v>3</v>
      </c>
      <c r="BI144" s="2">
        <f t="shared" si="1920"/>
        <v>144</v>
      </c>
    </row>
    <row r="145" spans="1:61" x14ac:dyDescent="0.55000000000000004">
      <c r="A145" s="2">
        <v>139</v>
      </c>
      <c r="B145" s="2" t="s">
        <v>195</v>
      </c>
      <c r="C145" s="2" t="s">
        <v>48</v>
      </c>
      <c r="D145" s="2">
        <v>56</v>
      </c>
      <c r="E145" s="2">
        <f t="shared" si="1794"/>
        <v>124</v>
      </c>
      <c r="F145" s="2">
        <v>2</v>
      </c>
      <c r="G145" s="2">
        <f t="shared" ref="G145:I145" si="1921">_xlfn.RANK.EQ(F145, F$7:F$375,0)</f>
        <v>256</v>
      </c>
      <c r="H145" s="3">
        <v>34.827777777777776</v>
      </c>
      <c r="I145" s="2">
        <f t="shared" si="1921"/>
        <v>173</v>
      </c>
      <c r="J145" s="5">
        <v>0.62152777777777779</v>
      </c>
      <c r="K145" s="2">
        <f t="shared" ref="K145:M145" si="1922">_xlfn.RANK.EQ(J145, J$7:J$375,0)</f>
        <v>220</v>
      </c>
      <c r="L145" s="2">
        <v>357</v>
      </c>
      <c r="M145" s="2">
        <f t="shared" si="1922"/>
        <v>139</v>
      </c>
      <c r="N145" s="2">
        <v>125</v>
      </c>
      <c r="O145" s="2">
        <f t="shared" ref="O145:Q145" si="1923">_xlfn.RANK.EQ(N145, N$7:N$375,0)</f>
        <v>139</v>
      </c>
      <c r="P145" s="2">
        <v>317</v>
      </c>
      <c r="Q145" s="2">
        <f t="shared" si="1923"/>
        <v>132</v>
      </c>
      <c r="R145" s="4">
        <v>0.39400000000000002</v>
      </c>
      <c r="S145" s="2">
        <f t="shared" ref="S145:U145" si="1924">_xlfn.RANK.EQ(R145, R$7:R$375,0)</f>
        <v>215</v>
      </c>
      <c r="T145" s="2">
        <v>48</v>
      </c>
      <c r="U145" s="2">
        <f t="shared" si="1924"/>
        <v>179</v>
      </c>
      <c r="V145" s="2">
        <v>90</v>
      </c>
      <c r="W145" s="2">
        <f t="shared" ref="W145:Y145" si="1925">_xlfn.RANK.EQ(V145, V$7:V$375,0)</f>
        <v>187</v>
      </c>
      <c r="X145" s="4">
        <v>0.53300000000000003</v>
      </c>
      <c r="Y145" s="2">
        <f t="shared" si="1925"/>
        <v>134</v>
      </c>
      <c r="Z145" s="2">
        <v>77</v>
      </c>
      <c r="AA145" s="2">
        <f t="shared" ref="AA145:AC145" si="1926">_xlfn.RANK.EQ(Z145, Z$7:Z$375,0)</f>
        <v>65</v>
      </c>
      <c r="AB145" s="2">
        <v>227</v>
      </c>
      <c r="AC145" s="2">
        <f t="shared" si="1926"/>
        <v>62</v>
      </c>
      <c r="AD145" s="4">
        <v>0.33900000000000002</v>
      </c>
      <c r="AE145" s="2">
        <f t="shared" ref="AE145:AG145" si="1927">_xlfn.RANK.EQ(AD145, AD$7:AD$375,0)</f>
        <v>138</v>
      </c>
      <c r="AF145" s="2">
        <v>30</v>
      </c>
      <c r="AG145" s="2">
        <f t="shared" si="1927"/>
        <v>168</v>
      </c>
      <c r="AH145" s="2">
        <v>38</v>
      </c>
      <c r="AI145" s="2">
        <f t="shared" ref="AI145:AK145" si="1928">_xlfn.RANK.EQ(AH145, AH$7:AH$375,0)</f>
        <v>181</v>
      </c>
      <c r="AJ145" s="4">
        <v>0.78900000000000003</v>
      </c>
      <c r="AK145" s="2">
        <f t="shared" si="1928"/>
        <v>100</v>
      </c>
      <c r="AL145" s="2">
        <v>25</v>
      </c>
      <c r="AM145" s="2">
        <f t="shared" ref="AM145:AO145" si="1929">_xlfn.RANK.EQ(AL145, AL$7:AL$375,0)</f>
        <v>173</v>
      </c>
      <c r="AN145" s="2">
        <v>52</v>
      </c>
      <c r="AO145" s="2">
        <f t="shared" si="1929"/>
        <v>195</v>
      </c>
      <c r="AP145" s="2">
        <v>77</v>
      </c>
      <c r="AQ145" s="2">
        <f t="shared" ref="AQ145:AS145" si="1930">_xlfn.RANK.EQ(AP145, AP$7:AP$375,0)</f>
        <v>193</v>
      </c>
      <c r="AR145" s="2">
        <v>64</v>
      </c>
      <c r="AS145" s="2">
        <f t="shared" si="1930"/>
        <v>190</v>
      </c>
      <c r="AT145" s="2">
        <v>31</v>
      </c>
      <c r="AU145" s="2">
        <f t="shared" ref="AU145:AW145" si="1931">_xlfn.RANK.EQ(AT145, AT$7:AT$375,0)</f>
        <v>208</v>
      </c>
      <c r="AV145" s="2">
        <v>27</v>
      </c>
      <c r="AW145" s="2">
        <f t="shared" si="1931"/>
        <v>163</v>
      </c>
      <c r="AX145" s="2">
        <v>3</v>
      </c>
      <c r="AY145" s="2">
        <f t="shared" ref="AY145:BA145" si="1932">_xlfn.RANK.EQ(AX145, AX$7:AX$375,0)</f>
        <v>208</v>
      </c>
      <c r="AZ145" s="2">
        <v>8</v>
      </c>
      <c r="BA145" s="2">
        <f t="shared" si="1932"/>
        <v>181</v>
      </c>
      <c r="BB145" s="2">
        <v>86</v>
      </c>
      <c r="BC145" s="2">
        <f t="shared" ref="BC145:BE145" si="1933">_xlfn.RANK.EQ(BB145, BB$7:BB$375,0)</f>
        <v>173</v>
      </c>
      <c r="BD145" s="2">
        <v>46</v>
      </c>
      <c r="BE145" s="2">
        <f t="shared" si="1933"/>
        <v>182</v>
      </c>
      <c r="BF145" s="2">
        <v>249</v>
      </c>
      <c r="BG145" s="2">
        <f t="shared" ref="BG145:BI145" si="1934">_xlfn.RANK.EQ(BF145, BF$7:BF$375,0)</f>
        <v>165</v>
      </c>
      <c r="BH145" s="2">
        <v>-99</v>
      </c>
      <c r="BI145" s="2">
        <f t="shared" si="1934"/>
        <v>278</v>
      </c>
    </row>
    <row r="146" spans="1:61" x14ac:dyDescent="0.55000000000000004">
      <c r="A146" s="2">
        <v>140</v>
      </c>
      <c r="B146" s="2" t="s">
        <v>196</v>
      </c>
      <c r="C146" s="2" t="s">
        <v>46</v>
      </c>
      <c r="D146" s="2">
        <v>59</v>
      </c>
      <c r="E146" s="2">
        <f t="shared" si="1794"/>
        <v>58</v>
      </c>
      <c r="F146" s="2">
        <v>0</v>
      </c>
      <c r="G146" s="2">
        <f t="shared" ref="G146:I146" si="1935">_xlfn.RANK.EQ(F146, F$7:F$375,0)</f>
        <v>291</v>
      </c>
      <c r="H146" s="3">
        <v>38.956249999999997</v>
      </c>
      <c r="I146" s="2">
        <f t="shared" si="1935"/>
        <v>154</v>
      </c>
      <c r="J146" s="5">
        <v>0.65972222222222221</v>
      </c>
      <c r="K146" s="2">
        <f t="shared" ref="K146:M146" si="1936">_xlfn.RANK.EQ(J146, J$7:J$375,0)</f>
        <v>207</v>
      </c>
      <c r="L146" s="2">
        <v>355</v>
      </c>
      <c r="M146" s="2">
        <f t="shared" si="1936"/>
        <v>140</v>
      </c>
      <c r="N146" s="2">
        <v>129</v>
      </c>
      <c r="O146" s="2">
        <f t="shared" ref="O146:Q146" si="1937">_xlfn.RANK.EQ(N146, N$7:N$375,0)</f>
        <v>133</v>
      </c>
      <c r="P146" s="2">
        <v>326</v>
      </c>
      <c r="Q146" s="2">
        <f t="shared" si="1937"/>
        <v>123</v>
      </c>
      <c r="R146" s="4">
        <v>0.39600000000000002</v>
      </c>
      <c r="S146" s="2">
        <f t="shared" ref="S146:U146" si="1938">_xlfn.RANK.EQ(R146, R$7:R$375,0)</f>
        <v>210</v>
      </c>
      <c r="T146" s="2">
        <v>60</v>
      </c>
      <c r="U146" s="2">
        <f t="shared" si="1938"/>
        <v>155</v>
      </c>
      <c r="V146" s="2">
        <v>122</v>
      </c>
      <c r="W146" s="2">
        <f t="shared" ref="W146:Y146" si="1939">_xlfn.RANK.EQ(V146, V$7:V$375,0)</f>
        <v>159</v>
      </c>
      <c r="X146" s="4">
        <v>0.49199999999999999</v>
      </c>
      <c r="Y146" s="2">
        <f t="shared" si="1939"/>
        <v>192</v>
      </c>
      <c r="Z146" s="2">
        <v>69</v>
      </c>
      <c r="AA146" s="2">
        <f t="shared" ref="AA146:AC146" si="1940">_xlfn.RANK.EQ(Z146, Z$7:Z$375,0)</f>
        <v>78</v>
      </c>
      <c r="AB146" s="2">
        <v>204</v>
      </c>
      <c r="AC146" s="2">
        <f t="shared" si="1940"/>
        <v>75</v>
      </c>
      <c r="AD146" s="4">
        <v>0.33800000000000002</v>
      </c>
      <c r="AE146" s="2">
        <f t="shared" ref="AE146:AG146" si="1941">_xlfn.RANK.EQ(AD146, AD$7:AD$375,0)</f>
        <v>141</v>
      </c>
      <c r="AF146" s="2">
        <v>28</v>
      </c>
      <c r="AG146" s="2">
        <f t="shared" si="1941"/>
        <v>182</v>
      </c>
      <c r="AH146" s="2">
        <v>40</v>
      </c>
      <c r="AI146" s="2">
        <f t="shared" ref="AI146:AK146" si="1942">_xlfn.RANK.EQ(AH146, AH$7:AH$375,0)</f>
        <v>172</v>
      </c>
      <c r="AJ146" s="4">
        <v>0.7</v>
      </c>
      <c r="AK146" s="2">
        <f t="shared" si="1942"/>
        <v>202</v>
      </c>
      <c r="AL146" s="2">
        <v>15</v>
      </c>
      <c r="AM146" s="2">
        <f t="shared" ref="AM146:AO146" si="1943">_xlfn.RANK.EQ(AL146, AL$7:AL$375,0)</f>
        <v>241</v>
      </c>
      <c r="AN146" s="2">
        <v>47</v>
      </c>
      <c r="AO146" s="2">
        <f t="shared" si="1943"/>
        <v>203</v>
      </c>
      <c r="AP146" s="2">
        <v>62</v>
      </c>
      <c r="AQ146" s="2">
        <f t="shared" ref="AQ146:AS146" si="1944">_xlfn.RANK.EQ(AP146, AP$7:AP$375,0)</f>
        <v>223</v>
      </c>
      <c r="AR146" s="2">
        <v>113</v>
      </c>
      <c r="AS146" s="2">
        <f t="shared" si="1944"/>
        <v>107</v>
      </c>
      <c r="AT146" s="2">
        <v>55</v>
      </c>
      <c r="AU146" s="2">
        <f t="shared" ref="AU146:AW146" si="1945">_xlfn.RANK.EQ(AT146, AT$7:AT$375,0)</f>
        <v>131</v>
      </c>
      <c r="AV146" s="2">
        <v>37</v>
      </c>
      <c r="AW146" s="2">
        <f t="shared" si="1945"/>
        <v>120</v>
      </c>
      <c r="AX146" s="2">
        <v>9</v>
      </c>
      <c r="AY146" s="2">
        <f t="shared" ref="AY146:BA146" si="1946">_xlfn.RANK.EQ(AX146, AX$7:AX$375,0)</f>
        <v>110</v>
      </c>
      <c r="AZ146" s="2">
        <v>9</v>
      </c>
      <c r="BA146" s="2">
        <f t="shared" si="1946"/>
        <v>160</v>
      </c>
      <c r="BB146" s="2">
        <v>110</v>
      </c>
      <c r="BC146" s="2">
        <f t="shared" ref="BC146:BE146" si="1947">_xlfn.RANK.EQ(BB146, BB$7:BB$375,0)</f>
        <v>110</v>
      </c>
      <c r="BD146" s="2">
        <v>47</v>
      </c>
      <c r="BE146" s="2">
        <f t="shared" si="1947"/>
        <v>179</v>
      </c>
      <c r="BF146" s="2">
        <v>240</v>
      </c>
      <c r="BG146" s="2">
        <f t="shared" ref="BG146:BI146" si="1948">_xlfn.RANK.EQ(BF146, BF$7:BF$375,0)</f>
        <v>170</v>
      </c>
      <c r="BH146" s="2">
        <v>-77</v>
      </c>
      <c r="BI146" s="2">
        <f t="shared" si="1948"/>
        <v>266</v>
      </c>
    </row>
    <row r="147" spans="1:61" x14ac:dyDescent="0.55000000000000004">
      <c r="A147" s="2">
        <v>140</v>
      </c>
      <c r="B147" s="2" t="s">
        <v>197</v>
      </c>
      <c r="C147" s="2" t="s">
        <v>38</v>
      </c>
      <c r="D147" s="2">
        <v>60</v>
      </c>
      <c r="E147" s="2">
        <f t="shared" si="1794"/>
        <v>1</v>
      </c>
      <c r="F147" s="2">
        <v>37</v>
      </c>
      <c r="G147" s="2">
        <f t="shared" ref="G147:I147" si="1949">_xlfn.RANK.EQ(F147, F$7:F$375,0)</f>
        <v>94</v>
      </c>
      <c r="H147" s="3">
        <v>44.50277777777778</v>
      </c>
      <c r="I147" s="2">
        <f t="shared" si="1949"/>
        <v>133</v>
      </c>
      <c r="J147" s="5">
        <v>0.7416666666666667</v>
      </c>
      <c r="K147" s="2">
        <f t="shared" ref="K147:M147" si="1950">_xlfn.RANK.EQ(J147, J$7:J$375,0)</f>
        <v>181</v>
      </c>
      <c r="L147" s="2">
        <v>355</v>
      </c>
      <c r="M147" s="2">
        <f t="shared" si="1950"/>
        <v>140</v>
      </c>
      <c r="N147" s="2">
        <v>120</v>
      </c>
      <c r="O147" s="2">
        <f t="shared" ref="O147:Q147" si="1951">_xlfn.RANK.EQ(N147, N$7:N$375,0)</f>
        <v>144</v>
      </c>
      <c r="P147" s="2">
        <v>277</v>
      </c>
      <c r="Q147" s="2">
        <f t="shared" si="1951"/>
        <v>146</v>
      </c>
      <c r="R147" s="4">
        <v>0.433</v>
      </c>
      <c r="S147" s="2">
        <f t="shared" ref="S147:U147" si="1952">_xlfn.RANK.EQ(R147, R$7:R$375,0)</f>
        <v>142</v>
      </c>
      <c r="T147" s="2">
        <v>69</v>
      </c>
      <c r="U147" s="2">
        <f t="shared" si="1952"/>
        <v>142</v>
      </c>
      <c r="V147" s="2">
        <v>145</v>
      </c>
      <c r="W147" s="2">
        <f t="shared" ref="W147:Y147" si="1953">_xlfn.RANK.EQ(V147, V$7:V$375,0)</f>
        <v>141</v>
      </c>
      <c r="X147" s="4">
        <v>0.47599999999999998</v>
      </c>
      <c r="Y147" s="2">
        <f t="shared" si="1953"/>
        <v>215</v>
      </c>
      <c r="Z147" s="2">
        <v>51</v>
      </c>
      <c r="AA147" s="2">
        <f t="shared" ref="AA147:AC147" si="1954">_xlfn.RANK.EQ(Z147, Z$7:Z$375,0)</f>
        <v>120</v>
      </c>
      <c r="AB147" s="2">
        <v>132</v>
      </c>
      <c r="AC147" s="2">
        <f t="shared" si="1954"/>
        <v>139</v>
      </c>
      <c r="AD147" s="4">
        <v>0.38600000000000001</v>
      </c>
      <c r="AE147" s="2">
        <f t="shared" ref="AE147:AG147" si="1955">_xlfn.RANK.EQ(AD147, AD$7:AD$375,0)</f>
        <v>56</v>
      </c>
      <c r="AF147" s="2">
        <v>64</v>
      </c>
      <c r="AG147" s="2">
        <f t="shared" si="1955"/>
        <v>105</v>
      </c>
      <c r="AH147" s="2">
        <v>84</v>
      </c>
      <c r="AI147" s="2">
        <f t="shared" ref="AI147:AK147" si="1956">_xlfn.RANK.EQ(AH147, AH$7:AH$375,0)</f>
        <v>109</v>
      </c>
      <c r="AJ147" s="4">
        <v>0.76200000000000001</v>
      </c>
      <c r="AK147" s="2">
        <f t="shared" si="1956"/>
        <v>135</v>
      </c>
      <c r="AL147" s="2">
        <v>54</v>
      </c>
      <c r="AM147" s="2">
        <f t="shared" ref="AM147:AO147" si="1957">_xlfn.RANK.EQ(AL147, AL$7:AL$375,0)</f>
        <v>83</v>
      </c>
      <c r="AN147" s="2">
        <v>102</v>
      </c>
      <c r="AO147" s="2">
        <f t="shared" si="1957"/>
        <v>106</v>
      </c>
      <c r="AP147" s="2">
        <v>156</v>
      </c>
      <c r="AQ147" s="2">
        <f t="shared" ref="AQ147:AS147" si="1958">_xlfn.RANK.EQ(AP147, AP$7:AP$375,0)</f>
        <v>95</v>
      </c>
      <c r="AR147" s="2">
        <v>119</v>
      </c>
      <c r="AS147" s="2">
        <f t="shared" si="1958"/>
        <v>97</v>
      </c>
      <c r="AT147" s="2">
        <v>76</v>
      </c>
      <c r="AU147" s="2">
        <f t="shared" ref="AU147:AW147" si="1959">_xlfn.RANK.EQ(AT147, AT$7:AT$375,0)</f>
        <v>88</v>
      </c>
      <c r="AV147" s="2">
        <v>47</v>
      </c>
      <c r="AW147" s="2">
        <f t="shared" si="1959"/>
        <v>73</v>
      </c>
      <c r="AX147" s="2">
        <v>4</v>
      </c>
      <c r="AY147" s="2">
        <f t="shared" ref="AY147:BA147" si="1960">_xlfn.RANK.EQ(AX147, AX$7:AX$375,0)</f>
        <v>186</v>
      </c>
      <c r="AZ147" s="2">
        <v>16</v>
      </c>
      <c r="BA147" s="2">
        <f t="shared" si="1960"/>
        <v>80</v>
      </c>
      <c r="BB147" s="2">
        <v>164</v>
      </c>
      <c r="BC147" s="2">
        <f t="shared" ref="BC147:BE147" si="1961">_xlfn.RANK.EQ(BB147, BB$7:BB$375,0)</f>
        <v>7</v>
      </c>
      <c r="BD147" s="2">
        <v>109</v>
      </c>
      <c r="BE147" s="2">
        <f t="shared" si="1961"/>
        <v>102</v>
      </c>
      <c r="BF147" s="2">
        <v>356</v>
      </c>
      <c r="BG147" s="2">
        <f t="shared" ref="BG147:BI147" si="1962">_xlfn.RANK.EQ(BF147, BF$7:BF$375,0)</f>
        <v>132</v>
      </c>
      <c r="BH147" s="2">
        <v>123</v>
      </c>
      <c r="BI147" s="2">
        <f t="shared" si="1962"/>
        <v>77</v>
      </c>
    </row>
    <row r="148" spans="1:61" x14ac:dyDescent="0.55000000000000004">
      <c r="A148" s="2">
        <v>142</v>
      </c>
      <c r="B148" s="2" t="s">
        <v>198</v>
      </c>
      <c r="C148" s="2" t="s">
        <v>50</v>
      </c>
      <c r="D148" s="2">
        <v>44</v>
      </c>
      <c r="E148" s="2">
        <f t="shared" si="1794"/>
        <v>224</v>
      </c>
      <c r="F148" s="2">
        <v>38</v>
      </c>
      <c r="G148" s="2">
        <f t="shared" ref="G148:I148" si="1963">_xlfn.RANK.EQ(F148, F$7:F$375,0)</f>
        <v>91</v>
      </c>
      <c r="H148" s="3">
        <v>50.871527777777779</v>
      </c>
      <c r="I148" s="2">
        <f t="shared" si="1963"/>
        <v>107</v>
      </c>
      <c r="J148" s="3">
        <v>1.1555555555555554</v>
      </c>
      <c r="K148" s="2">
        <f t="shared" ref="K148:M148" si="1964">_xlfn.RANK.EQ(J148, J$7:J$375,0)</f>
        <v>39</v>
      </c>
      <c r="L148" s="2">
        <v>348</v>
      </c>
      <c r="M148" s="2">
        <f t="shared" si="1964"/>
        <v>142</v>
      </c>
      <c r="N148" s="2">
        <v>122</v>
      </c>
      <c r="O148" s="2">
        <f t="shared" ref="O148:Q148" si="1965">_xlfn.RANK.EQ(N148, N$7:N$375,0)</f>
        <v>141</v>
      </c>
      <c r="P148" s="2">
        <v>246</v>
      </c>
      <c r="Q148" s="2">
        <f t="shared" si="1965"/>
        <v>167</v>
      </c>
      <c r="R148" s="4">
        <v>0.496</v>
      </c>
      <c r="S148" s="2">
        <f t="shared" ref="S148:U148" si="1966">_xlfn.RANK.EQ(R148, R$7:R$375,0)</f>
        <v>71</v>
      </c>
      <c r="T148" s="2">
        <v>101</v>
      </c>
      <c r="U148" s="2">
        <f t="shared" si="1966"/>
        <v>106</v>
      </c>
      <c r="V148" s="2">
        <v>187</v>
      </c>
      <c r="W148" s="2">
        <f t="shared" ref="W148:Y148" si="1967">_xlfn.RANK.EQ(V148, V$7:V$375,0)</f>
        <v>111</v>
      </c>
      <c r="X148" s="4">
        <v>0.54</v>
      </c>
      <c r="Y148" s="2">
        <f t="shared" si="1967"/>
        <v>123</v>
      </c>
      <c r="Z148" s="2">
        <v>21</v>
      </c>
      <c r="AA148" s="2">
        <f t="shared" ref="AA148:AC148" si="1968">_xlfn.RANK.EQ(Z148, Z$7:Z$375,0)</f>
        <v>206</v>
      </c>
      <c r="AB148" s="2">
        <v>59</v>
      </c>
      <c r="AC148" s="2">
        <f t="shared" si="1968"/>
        <v>221</v>
      </c>
      <c r="AD148" s="4">
        <v>0.35599999999999998</v>
      </c>
      <c r="AE148" s="2">
        <f t="shared" ref="AE148:AG148" si="1969">_xlfn.RANK.EQ(AD148, AD$7:AD$375,0)</f>
        <v>103</v>
      </c>
      <c r="AF148" s="2">
        <v>83</v>
      </c>
      <c r="AG148" s="2">
        <f t="shared" si="1969"/>
        <v>81</v>
      </c>
      <c r="AH148" s="2">
        <v>124</v>
      </c>
      <c r="AI148" s="2">
        <f t="shared" ref="AI148:AK148" si="1970">_xlfn.RANK.EQ(AH148, AH$7:AH$375,0)</f>
        <v>75</v>
      </c>
      <c r="AJ148" s="4">
        <v>0.66900000000000004</v>
      </c>
      <c r="AK148" s="2">
        <f t="shared" si="1970"/>
        <v>226</v>
      </c>
      <c r="AL148" s="2">
        <v>129</v>
      </c>
      <c r="AM148" s="2">
        <f t="shared" ref="AM148:AO148" si="1971">_xlfn.RANK.EQ(AL148, AL$7:AL$375,0)</f>
        <v>22</v>
      </c>
      <c r="AN148" s="2">
        <v>346</v>
      </c>
      <c r="AO148" s="2">
        <f t="shared" si="1971"/>
        <v>8</v>
      </c>
      <c r="AP148" s="2">
        <v>475</v>
      </c>
      <c r="AQ148" s="2">
        <f t="shared" ref="AQ148:AS148" si="1972">_xlfn.RANK.EQ(AP148, AP$7:AP$375,0)</f>
        <v>9</v>
      </c>
      <c r="AR148" s="2">
        <v>245</v>
      </c>
      <c r="AS148" s="2">
        <f t="shared" si="1972"/>
        <v>17</v>
      </c>
      <c r="AT148" s="2">
        <v>68</v>
      </c>
      <c r="AU148" s="2">
        <f t="shared" ref="AU148:AW148" si="1973">_xlfn.RANK.EQ(AT148, AT$7:AT$375,0)</f>
        <v>101</v>
      </c>
      <c r="AV148" s="2">
        <v>39</v>
      </c>
      <c r="AW148" s="2">
        <f t="shared" si="1973"/>
        <v>111</v>
      </c>
      <c r="AX148" s="2">
        <v>28</v>
      </c>
      <c r="AY148" s="2">
        <f t="shared" ref="AY148:BA148" si="1974">_xlfn.RANK.EQ(AX148, AX$7:AX$375,0)</f>
        <v>42</v>
      </c>
      <c r="AZ148" s="2">
        <v>7</v>
      </c>
      <c r="BA148" s="2">
        <f t="shared" si="1974"/>
        <v>195</v>
      </c>
      <c r="BB148" s="2">
        <v>63</v>
      </c>
      <c r="BC148" s="2">
        <f t="shared" ref="BC148:BE148" si="1975">_xlfn.RANK.EQ(BB148, BB$7:BB$375,0)</f>
        <v>235</v>
      </c>
      <c r="BD148" s="2">
        <v>161</v>
      </c>
      <c r="BE148" s="2">
        <f t="shared" si="1975"/>
        <v>65</v>
      </c>
      <c r="BF148" s="2">
        <v>993</v>
      </c>
      <c r="BG148" s="2">
        <f t="shared" ref="BG148:BI148" si="1976">_xlfn.RANK.EQ(BF148, BF$7:BF$375,0)</f>
        <v>43</v>
      </c>
      <c r="BH148" s="2">
        <v>251</v>
      </c>
      <c r="BI148" s="2">
        <f t="shared" si="1976"/>
        <v>37</v>
      </c>
    </row>
    <row r="149" spans="1:61" x14ac:dyDescent="0.55000000000000004">
      <c r="A149" s="2">
        <v>143</v>
      </c>
      <c r="B149" s="2" t="s">
        <v>199</v>
      </c>
      <c r="C149" s="2" t="s">
        <v>34</v>
      </c>
      <c r="D149" s="2">
        <v>41</v>
      </c>
      <c r="E149" s="2">
        <f t="shared" si="1794"/>
        <v>242</v>
      </c>
      <c r="F149" s="2">
        <v>41</v>
      </c>
      <c r="G149" s="2">
        <f t="shared" ref="G149:I149" si="1977">_xlfn.RANK.EQ(F149, F$7:F$375,0)</f>
        <v>80</v>
      </c>
      <c r="H149" s="3">
        <v>37.789583333333333</v>
      </c>
      <c r="I149" s="2">
        <f t="shared" si="1977"/>
        <v>161</v>
      </c>
      <c r="J149" s="5">
        <v>0.92152777777777772</v>
      </c>
      <c r="K149" s="2">
        <f t="shared" ref="K149:M149" si="1978">_xlfn.RANK.EQ(J149, J$7:J$375,0)</f>
        <v>121</v>
      </c>
      <c r="L149" s="2">
        <v>342</v>
      </c>
      <c r="M149" s="2">
        <f t="shared" si="1978"/>
        <v>143</v>
      </c>
      <c r="N149" s="2">
        <v>140</v>
      </c>
      <c r="O149" s="2">
        <f t="shared" ref="O149:Q149" si="1979">_xlfn.RANK.EQ(N149, N$7:N$375,0)</f>
        <v>124</v>
      </c>
      <c r="P149" s="2">
        <v>253</v>
      </c>
      <c r="Q149" s="2">
        <f t="shared" si="1979"/>
        <v>160</v>
      </c>
      <c r="R149" s="4">
        <v>0.55300000000000005</v>
      </c>
      <c r="S149" s="2">
        <f t="shared" ref="S149:U149" si="1980">_xlfn.RANK.EQ(R149, R$7:R$375,0)</f>
        <v>37</v>
      </c>
      <c r="T149" s="2">
        <v>130</v>
      </c>
      <c r="U149" s="2">
        <f t="shared" si="1980"/>
        <v>85</v>
      </c>
      <c r="V149" s="2">
        <v>223</v>
      </c>
      <c r="W149" s="2">
        <f t="shared" ref="W149:Y149" si="1981">_xlfn.RANK.EQ(V149, V$7:V$375,0)</f>
        <v>92</v>
      </c>
      <c r="X149" s="4">
        <v>0.58299999999999996</v>
      </c>
      <c r="Y149" s="2">
        <f t="shared" si="1981"/>
        <v>73</v>
      </c>
      <c r="Z149" s="2">
        <v>10</v>
      </c>
      <c r="AA149" s="2">
        <f t="shared" ref="AA149:AC149" si="1982">_xlfn.RANK.EQ(Z149, Z$7:Z$375,0)</f>
        <v>254</v>
      </c>
      <c r="AB149" s="2">
        <v>30</v>
      </c>
      <c r="AC149" s="2">
        <f t="shared" si="1982"/>
        <v>266</v>
      </c>
      <c r="AD149" s="4">
        <v>0.33300000000000002</v>
      </c>
      <c r="AE149" s="2">
        <f t="shared" ref="AE149:AG149" si="1983">_xlfn.RANK.EQ(AD149, AD$7:AD$375,0)</f>
        <v>149</v>
      </c>
      <c r="AF149" s="2">
        <v>52</v>
      </c>
      <c r="AG149" s="2">
        <f t="shared" si="1983"/>
        <v>126</v>
      </c>
      <c r="AH149" s="2">
        <v>82</v>
      </c>
      <c r="AI149" s="2">
        <f t="shared" ref="AI149:AK149" si="1984">_xlfn.RANK.EQ(AH149, AH$7:AH$375,0)</f>
        <v>112</v>
      </c>
      <c r="AJ149" s="4">
        <v>0.63400000000000001</v>
      </c>
      <c r="AK149" s="2">
        <f t="shared" si="1984"/>
        <v>253</v>
      </c>
      <c r="AL149" s="2">
        <v>82</v>
      </c>
      <c r="AM149" s="2">
        <f t="shared" ref="AM149:AO149" si="1985">_xlfn.RANK.EQ(AL149, AL$7:AL$375,0)</f>
        <v>50</v>
      </c>
      <c r="AN149" s="2">
        <v>172</v>
      </c>
      <c r="AO149" s="2">
        <f t="shared" si="1985"/>
        <v>74</v>
      </c>
      <c r="AP149" s="2">
        <v>254</v>
      </c>
      <c r="AQ149" s="2">
        <f t="shared" ref="AQ149:AS149" si="1986">_xlfn.RANK.EQ(AP149, AP$7:AP$375,0)</f>
        <v>74</v>
      </c>
      <c r="AR149" s="2">
        <v>116</v>
      </c>
      <c r="AS149" s="2">
        <f t="shared" si="1986"/>
        <v>100</v>
      </c>
      <c r="AT149" s="2">
        <v>62</v>
      </c>
      <c r="AU149" s="2">
        <f t="shared" ref="AU149:AW149" si="1987">_xlfn.RANK.EQ(AT149, AT$7:AT$375,0)</f>
        <v>117</v>
      </c>
      <c r="AV149" s="2">
        <v>44</v>
      </c>
      <c r="AW149" s="2">
        <f t="shared" si="1987"/>
        <v>87</v>
      </c>
      <c r="AX149" s="2">
        <v>10</v>
      </c>
      <c r="AY149" s="2">
        <f t="shared" ref="AY149:BA149" si="1988">_xlfn.RANK.EQ(AX149, AX$7:AX$375,0)</f>
        <v>103</v>
      </c>
      <c r="AZ149" s="2">
        <v>15</v>
      </c>
      <c r="BA149" s="2">
        <f t="shared" si="1988"/>
        <v>87</v>
      </c>
      <c r="BB149" s="2">
        <v>89</v>
      </c>
      <c r="BC149" s="2">
        <f t="shared" ref="BC149:BE149" si="1989">_xlfn.RANK.EQ(BB149, BB$7:BB$375,0)</f>
        <v>166</v>
      </c>
      <c r="BD149" s="2">
        <v>99</v>
      </c>
      <c r="BE149" s="2">
        <f t="shared" si="1989"/>
        <v>112</v>
      </c>
      <c r="BF149" s="2">
        <v>555</v>
      </c>
      <c r="BG149" s="2">
        <f t="shared" ref="BG149:BI149" si="1990">_xlfn.RANK.EQ(BF149, BF$7:BF$375,0)</f>
        <v>95</v>
      </c>
      <c r="BH149" s="2">
        <v>311</v>
      </c>
      <c r="BI149" s="2">
        <f t="shared" si="1990"/>
        <v>22</v>
      </c>
    </row>
    <row r="150" spans="1:61" x14ac:dyDescent="0.55000000000000004">
      <c r="A150" s="2">
        <v>143</v>
      </c>
      <c r="B150" s="2" t="s">
        <v>200</v>
      </c>
      <c r="C150" s="2" t="s">
        <v>42</v>
      </c>
      <c r="D150" s="2">
        <v>55</v>
      </c>
      <c r="E150" s="2">
        <f t="shared" si="1794"/>
        <v>139</v>
      </c>
      <c r="F150" s="2">
        <v>52</v>
      </c>
      <c r="G150" s="2">
        <f t="shared" ref="G150:I150" si="1991">_xlfn.RANK.EQ(F150, F$7:F$375,0)</f>
        <v>41</v>
      </c>
      <c r="H150" s="3">
        <v>48.270833333333336</v>
      </c>
      <c r="I150" s="2">
        <f t="shared" si="1991"/>
        <v>114</v>
      </c>
      <c r="J150" s="5">
        <v>0.87708333333333333</v>
      </c>
      <c r="K150" s="2">
        <f t="shared" ref="K150:M150" si="1992">_xlfn.RANK.EQ(J150, J$7:J$375,0)</f>
        <v>140</v>
      </c>
      <c r="L150" s="2">
        <v>342</v>
      </c>
      <c r="M150" s="2">
        <f t="shared" si="1992"/>
        <v>143</v>
      </c>
      <c r="N150" s="2">
        <v>122</v>
      </c>
      <c r="O150" s="2">
        <f t="shared" ref="O150:Q150" si="1993">_xlfn.RANK.EQ(N150, N$7:N$375,0)</f>
        <v>141</v>
      </c>
      <c r="P150" s="2">
        <v>291</v>
      </c>
      <c r="Q150" s="2">
        <f t="shared" si="1993"/>
        <v>141</v>
      </c>
      <c r="R150" s="4">
        <v>0.41899999999999998</v>
      </c>
      <c r="S150" s="2">
        <f t="shared" ref="S150:U150" si="1994">_xlfn.RANK.EQ(R150, R$7:R$375,0)</f>
        <v>164</v>
      </c>
      <c r="T150" s="2">
        <v>39</v>
      </c>
      <c r="U150" s="2">
        <f t="shared" si="1994"/>
        <v>200</v>
      </c>
      <c r="V150" s="2">
        <v>62</v>
      </c>
      <c r="W150" s="2">
        <f t="shared" ref="W150:Y150" si="1995">_xlfn.RANK.EQ(V150, V$7:V$375,0)</f>
        <v>229</v>
      </c>
      <c r="X150" s="4">
        <v>0.629</v>
      </c>
      <c r="Y150" s="2">
        <f t="shared" si="1995"/>
        <v>34</v>
      </c>
      <c r="Z150" s="2">
        <v>83</v>
      </c>
      <c r="AA150" s="2">
        <f t="shared" ref="AA150:AC150" si="1996">_xlfn.RANK.EQ(Z150, Z$7:Z$375,0)</f>
        <v>55</v>
      </c>
      <c r="AB150" s="2">
        <v>229</v>
      </c>
      <c r="AC150" s="2">
        <f t="shared" si="1996"/>
        <v>60</v>
      </c>
      <c r="AD150" s="4">
        <v>0.36199999999999999</v>
      </c>
      <c r="AE150" s="2">
        <f t="shared" ref="AE150:AG150" si="1997">_xlfn.RANK.EQ(AD150, AD$7:AD$375,0)</f>
        <v>94</v>
      </c>
      <c r="AF150" s="2">
        <v>15</v>
      </c>
      <c r="AG150" s="2">
        <f t="shared" si="1997"/>
        <v>237</v>
      </c>
      <c r="AH150" s="2">
        <v>17</v>
      </c>
      <c r="AI150" s="2">
        <f t="shared" ref="AI150:AK150" si="1998">_xlfn.RANK.EQ(AH150, AH$7:AH$375,0)</f>
        <v>260</v>
      </c>
      <c r="AJ150" s="4">
        <v>0.88200000000000001</v>
      </c>
      <c r="AK150" s="2">
        <f t="shared" si="1998"/>
        <v>23</v>
      </c>
      <c r="AL150" s="2">
        <v>29</v>
      </c>
      <c r="AM150" s="2">
        <f t="shared" ref="AM150:AO150" si="1999">_xlfn.RANK.EQ(AL150, AL$7:AL$375,0)</f>
        <v>156</v>
      </c>
      <c r="AN150" s="2">
        <v>117</v>
      </c>
      <c r="AO150" s="2">
        <f t="shared" si="1999"/>
        <v>96</v>
      </c>
      <c r="AP150" s="2">
        <v>146</v>
      </c>
      <c r="AQ150" s="2">
        <f t="shared" ref="AQ150:AS150" si="2000">_xlfn.RANK.EQ(AP150, AP$7:AP$375,0)</f>
        <v>103</v>
      </c>
      <c r="AR150" s="2">
        <v>51</v>
      </c>
      <c r="AS150" s="2">
        <f t="shared" si="2000"/>
        <v>214</v>
      </c>
      <c r="AT150" s="2">
        <v>21</v>
      </c>
      <c r="AU150" s="2">
        <f t="shared" ref="AU150:AW150" si="2001">_xlfn.RANK.EQ(AT150, AT$7:AT$375,0)</f>
        <v>247</v>
      </c>
      <c r="AV150" s="2">
        <v>46</v>
      </c>
      <c r="AW150" s="2">
        <f t="shared" si="2001"/>
        <v>79</v>
      </c>
      <c r="AX150" s="2">
        <v>10</v>
      </c>
      <c r="AY150" s="2">
        <f t="shared" ref="AY150:BA150" si="2002">_xlfn.RANK.EQ(AX150, AX$7:AX$375,0)</f>
        <v>103</v>
      </c>
      <c r="AZ150" s="2">
        <v>3</v>
      </c>
      <c r="BA150" s="2">
        <f t="shared" si="2002"/>
        <v>267</v>
      </c>
      <c r="BB150" s="2">
        <v>126</v>
      </c>
      <c r="BC150" s="2">
        <f t="shared" ref="BC150:BE150" si="2003">_xlfn.RANK.EQ(BB150, BB$7:BB$375,0)</f>
        <v>65</v>
      </c>
      <c r="BD150" s="2">
        <v>21</v>
      </c>
      <c r="BE150" s="2">
        <f t="shared" si="2003"/>
        <v>262</v>
      </c>
      <c r="BF150" s="2">
        <v>295</v>
      </c>
      <c r="BG150" s="2">
        <f t="shared" ref="BG150:BI150" si="2004">_xlfn.RANK.EQ(BF150, BF$7:BF$375,0)</f>
        <v>149</v>
      </c>
      <c r="BH150" s="2">
        <v>309</v>
      </c>
      <c r="BI150" s="2">
        <f t="shared" si="2004"/>
        <v>25</v>
      </c>
    </row>
    <row r="151" spans="1:61" x14ac:dyDescent="0.55000000000000004">
      <c r="A151" s="2">
        <v>145</v>
      </c>
      <c r="B151" s="2" t="s">
        <v>201</v>
      </c>
      <c r="C151" s="2" t="s">
        <v>91</v>
      </c>
      <c r="D151" s="2">
        <v>57</v>
      </c>
      <c r="E151" s="2">
        <f t="shared" si="1794"/>
        <v>100</v>
      </c>
      <c r="F151" s="2">
        <v>25</v>
      </c>
      <c r="G151" s="2">
        <f t="shared" ref="G151:I151" si="2005">_xlfn.RANK.EQ(F151, F$7:F$375,0)</f>
        <v>132</v>
      </c>
      <c r="H151" s="3">
        <v>38.610416666666666</v>
      </c>
      <c r="I151" s="2">
        <f t="shared" si="2005"/>
        <v>156</v>
      </c>
      <c r="J151" s="5">
        <v>0.67708333333333337</v>
      </c>
      <c r="K151" s="2">
        <f t="shared" ref="K151:M151" si="2006">_xlfn.RANK.EQ(J151, J$7:J$375,0)</f>
        <v>198</v>
      </c>
      <c r="L151" s="2">
        <v>338</v>
      </c>
      <c r="M151" s="2">
        <f t="shared" si="2006"/>
        <v>145</v>
      </c>
      <c r="N151" s="2">
        <v>125</v>
      </c>
      <c r="O151" s="2">
        <f t="shared" ref="O151:Q151" si="2007">_xlfn.RANK.EQ(N151, N$7:N$375,0)</f>
        <v>139</v>
      </c>
      <c r="P151" s="2">
        <v>319</v>
      </c>
      <c r="Q151" s="2">
        <f t="shared" si="2007"/>
        <v>127</v>
      </c>
      <c r="R151" s="4">
        <v>0.39200000000000002</v>
      </c>
      <c r="S151" s="2">
        <f t="shared" ref="S151:U151" si="2008">_xlfn.RANK.EQ(R151, R$7:R$375,0)</f>
        <v>220</v>
      </c>
      <c r="T151" s="2">
        <v>67</v>
      </c>
      <c r="U151" s="2">
        <f t="shared" si="2008"/>
        <v>145</v>
      </c>
      <c r="V151" s="2">
        <v>134</v>
      </c>
      <c r="W151" s="2">
        <f t="shared" ref="W151:Y151" si="2009">_xlfn.RANK.EQ(V151, V$7:V$375,0)</f>
        <v>148</v>
      </c>
      <c r="X151" s="4">
        <v>0.5</v>
      </c>
      <c r="Y151" s="2">
        <f t="shared" si="2009"/>
        <v>175</v>
      </c>
      <c r="Z151" s="2">
        <v>58</v>
      </c>
      <c r="AA151" s="2">
        <f t="shared" ref="AA151:AC151" si="2010">_xlfn.RANK.EQ(Z151, Z$7:Z$375,0)</f>
        <v>99</v>
      </c>
      <c r="AB151" s="2">
        <v>185</v>
      </c>
      <c r="AC151" s="2">
        <f t="shared" si="2010"/>
        <v>92</v>
      </c>
      <c r="AD151" s="4">
        <v>0.314</v>
      </c>
      <c r="AE151" s="2">
        <f t="shared" ref="AE151:AG151" si="2011">_xlfn.RANK.EQ(AD151, AD$7:AD$375,0)</f>
        <v>192</v>
      </c>
      <c r="AF151" s="2">
        <v>30</v>
      </c>
      <c r="AG151" s="2">
        <f t="shared" si="2011"/>
        <v>168</v>
      </c>
      <c r="AH151" s="2">
        <v>44</v>
      </c>
      <c r="AI151" s="2">
        <f t="shared" ref="AI151:AK151" si="2012">_xlfn.RANK.EQ(AH151, AH$7:AH$375,0)</f>
        <v>164</v>
      </c>
      <c r="AJ151" s="4">
        <v>0.68200000000000005</v>
      </c>
      <c r="AK151" s="2">
        <f t="shared" si="2012"/>
        <v>216</v>
      </c>
      <c r="AL151" s="2">
        <v>47</v>
      </c>
      <c r="AM151" s="2">
        <f t="shared" ref="AM151:AO151" si="2013">_xlfn.RANK.EQ(AL151, AL$7:AL$375,0)</f>
        <v>99</v>
      </c>
      <c r="AN151" s="2">
        <v>70</v>
      </c>
      <c r="AO151" s="2">
        <f t="shared" si="2013"/>
        <v>160</v>
      </c>
      <c r="AP151" s="2">
        <v>117</v>
      </c>
      <c r="AQ151" s="2">
        <f t="shared" ref="AQ151:AS151" si="2014">_xlfn.RANK.EQ(AP151, AP$7:AP$375,0)</f>
        <v>132</v>
      </c>
      <c r="AR151" s="2">
        <v>39</v>
      </c>
      <c r="AS151" s="2">
        <f t="shared" si="2014"/>
        <v>238</v>
      </c>
      <c r="AT151" s="2">
        <v>18</v>
      </c>
      <c r="AU151" s="2">
        <f t="shared" ref="AU151:AW151" si="2015">_xlfn.RANK.EQ(AT151, AT$7:AT$375,0)</f>
        <v>262</v>
      </c>
      <c r="AV151" s="2">
        <v>26</v>
      </c>
      <c r="AW151" s="2">
        <f t="shared" si="2015"/>
        <v>168</v>
      </c>
      <c r="AX151" s="2">
        <v>3</v>
      </c>
      <c r="AY151" s="2">
        <f t="shared" ref="AY151:BA151" si="2016">_xlfn.RANK.EQ(AX151, AX$7:AX$375,0)</f>
        <v>208</v>
      </c>
      <c r="AZ151" s="2">
        <v>13</v>
      </c>
      <c r="BA151" s="2">
        <f t="shared" si="2016"/>
        <v>114</v>
      </c>
      <c r="BB151" s="2">
        <v>61</v>
      </c>
      <c r="BC151" s="2">
        <f t="shared" ref="BC151:BE151" si="2017">_xlfn.RANK.EQ(BB151, BB$7:BB$375,0)</f>
        <v>242</v>
      </c>
      <c r="BD151" s="2">
        <v>47</v>
      </c>
      <c r="BE151" s="2">
        <f t="shared" si="2017"/>
        <v>179</v>
      </c>
      <c r="BF151" s="2">
        <v>270</v>
      </c>
      <c r="BG151" s="2">
        <f t="shared" ref="BG151:BI151" si="2018">_xlfn.RANK.EQ(BF151, BF$7:BF$375,0)</f>
        <v>157</v>
      </c>
      <c r="BH151" s="2">
        <v>-147</v>
      </c>
      <c r="BI151" s="2">
        <f t="shared" si="2018"/>
        <v>318</v>
      </c>
    </row>
    <row r="152" spans="1:61" x14ac:dyDescent="0.55000000000000004">
      <c r="A152" s="2">
        <v>146</v>
      </c>
      <c r="B152" s="2" t="s">
        <v>202</v>
      </c>
      <c r="C152" s="2" t="s">
        <v>113</v>
      </c>
      <c r="D152" s="2">
        <v>54</v>
      </c>
      <c r="E152" s="2">
        <f t="shared" si="1794"/>
        <v>155</v>
      </c>
      <c r="F152" s="2">
        <v>3</v>
      </c>
      <c r="G152" s="2">
        <f t="shared" ref="G152:I152" si="2019">_xlfn.RANK.EQ(F152, F$7:F$375,0)</f>
        <v>248</v>
      </c>
      <c r="H152" s="3">
        <v>36.429861111111109</v>
      </c>
      <c r="I152" s="2">
        <f t="shared" si="2019"/>
        <v>168</v>
      </c>
      <c r="J152" s="5">
        <v>0.6743055555555556</v>
      </c>
      <c r="K152" s="2">
        <f t="shared" ref="K152:M152" si="2020">_xlfn.RANK.EQ(J152, J$7:J$375,0)</f>
        <v>200</v>
      </c>
      <c r="L152" s="2">
        <v>336</v>
      </c>
      <c r="M152" s="2">
        <f t="shared" si="2020"/>
        <v>146</v>
      </c>
      <c r="N152" s="2">
        <v>126</v>
      </c>
      <c r="O152" s="2">
        <f t="shared" ref="O152:Q152" si="2021">_xlfn.RANK.EQ(N152, N$7:N$375,0)</f>
        <v>137</v>
      </c>
      <c r="P152" s="2">
        <v>340</v>
      </c>
      <c r="Q152" s="2">
        <f t="shared" si="2021"/>
        <v>114</v>
      </c>
      <c r="R152" s="4">
        <v>0.371</v>
      </c>
      <c r="S152" s="2">
        <f t="shared" ref="S152:U152" si="2022">_xlfn.RANK.EQ(R152, R$7:R$375,0)</f>
        <v>242</v>
      </c>
      <c r="T152" s="2">
        <v>72</v>
      </c>
      <c r="U152" s="2">
        <f t="shared" si="2022"/>
        <v>135</v>
      </c>
      <c r="V152" s="2">
        <v>165</v>
      </c>
      <c r="W152" s="2">
        <f t="shared" ref="W152:Y152" si="2023">_xlfn.RANK.EQ(V152, V$7:V$375,0)</f>
        <v>123</v>
      </c>
      <c r="X152" s="4">
        <v>0.436</v>
      </c>
      <c r="Y152" s="2">
        <f t="shared" si="2023"/>
        <v>262</v>
      </c>
      <c r="Z152" s="2">
        <v>54</v>
      </c>
      <c r="AA152" s="2">
        <f t="shared" ref="AA152:AC152" si="2024">_xlfn.RANK.EQ(Z152, Z$7:Z$375,0)</f>
        <v>111</v>
      </c>
      <c r="AB152" s="2">
        <v>175</v>
      </c>
      <c r="AC152" s="2">
        <f t="shared" si="2024"/>
        <v>102</v>
      </c>
      <c r="AD152" s="4">
        <v>0.309</v>
      </c>
      <c r="AE152" s="2">
        <f t="shared" ref="AE152:AG152" si="2025">_xlfn.RANK.EQ(AD152, AD$7:AD$375,0)</f>
        <v>200</v>
      </c>
      <c r="AF152" s="2">
        <v>30</v>
      </c>
      <c r="AG152" s="2">
        <f t="shared" si="2025"/>
        <v>168</v>
      </c>
      <c r="AH152" s="2">
        <v>40</v>
      </c>
      <c r="AI152" s="2">
        <f t="shared" ref="AI152:AK152" si="2026">_xlfn.RANK.EQ(AH152, AH$7:AH$375,0)</f>
        <v>172</v>
      </c>
      <c r="AJ152" s="4">
        <v>0.75</v>
      </c>
      <c r="AK152" s="2">
        <f t="shared" si="2026"/>
        <v>148</v>
      </c>
      <c r="AL152" s="2">
        <v>8</v>
      </c>
      <c r="AM152" s="2">
        <f t="shared" ref="AM152:AO152" si="2027">_xlfn.RANK.EQ(AL152, AL$7:AL$375,0)</f>
        <v>286</v>
      </c>
      <c r="AN152" s="2">
        <v>42</v>
      </c>
      <c r="AO152" s="2">
        <f t="shared" si="2027"/>
        <v>225</v>
      </c>
      <c r="AP152" s="2">
        <v>50</v>
      </c>
      <c r="AQ152" s="2">
        <f t="shared" ref="AQ152:AS152" si="2028">_xlfn.RANK.EQ(AP152, AP$7:AP$375,0)</f>
        <v>247</v>
      </c>
      <c r="AR152" s="2">
        <v>120</v>
      </c>
      <c r="AS152" s="2">
        <f t="shared" si="2028"/>
        <v>96</v>
      </c>
      <c r="AT152" s="2">
        <v>70</v>
      </c>
      <c r="AU152" s="2">
        <f t="shared" ref="AU152:AW152" si="2029">_xlfn.RANK.EQ(AT152, AT$7:AT$375,0)</f>
        <v>97</v>
      </c>
      <c r="AV152" s="2">
        <v>23</v>
      </c>
      <c r="AW152" s="2">
        <f t="shared" si="2029"/>
        <v>190</v>
      </c>
      <c r="AX152" s="2">
        <v>1</v>
      </c>
      <c r="AY152" s="2">
        <f t="shared" ref="AY152:BA152" si="2030">_xlfn.RANK.EQ(AX152, AX$7:AX$375,0)</f>
        <v>265</v>
      </c>
      <c r="AZ152" s="2">
        <v>12</v>
      </c>
      <c r="BA152" s="2">
        <f t="shared" si="2030"/>
        <v>124</v>
      </c>
      <c r="BB152" s="2">
        <v>101</v>
      </c>
      <c r="BC152" s="2">
        <f t="shared" ref="BC152:BE152" si="2031">_xlfn.RANK.EQ(BB152, BB$7:BB$375,0)</f>
        <v>133</v>
      </c>
      <c r="BD152" s="2">
        <v>91</v>
      </c>
      <c r="BE152" s="2">
        <f t="shared" si="2031"/>
        <v>122</v>
      </c>
      <c r="BF152" s="2">
        <v>214</v>
      </c>
      <c r="BG152" s="2">
        <f t="shared" ref="BG152:BI152" si="2032">_xlfn.RANK.EQ(BF152, BF$7:BF$375,0)</f>
        <v>180</v>
      </c>
      <c r="BH152" s="2">
        <v>-250</v>
      </c>
      <c r="BI152" s="2">
        <f t="shared" si="2032"/>
        <v>351</v>
      </c>
    </row>
    <row r="153" spans="1:61" x14ac:dyDescent="0.55000000000000004">
      <c r="A153" s="2">
        <v>147</v>
      </c>
      <c r="B153" s="2" t="s">
        <v>203</v>
      </c>
      <c r="C153" s="2" t="s">
        <v>91</v>
      </c>
      <c r="D153" s="2">
        <v>36</v>
      </c>
      <c r="E153" s="2">
        <f t="shared" si="1794"/>
        <v>263</v>
      </c>
      <c r="F153" s="2">
        <v>35</v>
      </c>
      <c r="G153" s="2">
        <f t="shared" ref="G153:I153" si="2033">_xlfn.RANK.EQ(F153, F$7:F$375,0)</f>
        <v>101</v>
      </c>
      <c r="H153" s="3">
        <v>40.118749999999999</v>
      </c>
      <c r="I153" s="2">
        <f t="shared" si="2033"/>
        <v>149</v>
      </c>
      <c r="J153" s="3">
        <v>1.1138888888888889</v>
      </c>
      <c r="K153" s="2">
        <f t="shared" ref="K153:M153" si="2034">_xlfn.RANK.EQ(J153, J$7:J$375,0)</f>
        <v>52</v>
      </c>
      <c r="L153" s="2">
        <v>333</v>
      </c>
      <c r="M153" s="2">
        <f t="shared" si="2034"/>
        <v>147</v>
      </c>
      <c r="N153" s="2">
        <v>110</v>
      </c>
      <c r="O153" s="2">
        <f t="shared" ref="O153:Q153" si="2035">_xlfn.RANK.EQ(N153, N$7:N$375,0)</f>
        <v>151</v>
      </c>
      <c r="P153" s="2">
        <v>265</v>
      </c>
      <c r="Q153" s="2">
        <f t="shared" si="2035"/>
        <v>155</v>
      </c>
      <c r="R153" s="4">
        <v>0.41499999999999998</v>
      </c>
      <c r="S153" s="2">
        <f t="shared" ref="S153:U153" si="2036">_xlfn.RANK.EQ(R153, R$7:R$375,0)</f>
        <v>173</v>
      </c>
      <c r="T153" s="2">
        <v>50</v>
      </c>
      <c r="U153" s="2">
        <f t="shared" si="2036"/>
        <v>172</v>
      </c>
      <c r="V153" s="2">
        <v>100</v>
      </c>
      <c r="W153" s="2">
        <f t="shared" ref="W153:Y153" si="2037">_xlfn.RANK.EQ(V153, V$7:V$375,0)</f>
        <v>176</v>
      </c>
      <c r="X153" s="4">
        <v>0.5</v>
      </c>
      <c r="Y153" s="2">
        <f t="shared" si="2037"/>
        <v>175</v>
      </c>
      <c r="Z153" s="2">
        <v>60</v>
      </c>
      <c r="AA153" s="2">
        <f t="shared" ref="AA153:AC153" si="2038">_xlfn.RANK.EQ(Z153, Z$7:Z$375,0)</f>
        <v>96</v>
      </c>
      <c r="AB153" s="2">
        <v>165</v>
      </c>
      <c r="AC153" s="2">
        <f t="shared" si="2038"/>
        <v>112</v>
      </c>
      <c r="AD153" s="4">
        <v>0.36399999999999999</v>
      </c>
      <c r="AE153" s="2">
        <f t="shared" ref="AE153:AG153" si="2039">_xlfn.RANK.EQ(AD153, AD$7:AD$375,0)</f>
        <v>91</v>
      </c>
      <c r="AF153" s="2">
        <v>53</v>
      </c>
      <c r="AG153" s="2">
        <f t="shared" si="2039"/>
        <v>125</v>
      </c>
      <c r="AH153" s="2">
        <v>69</v>
      </c>
      <c r="AI153" s="2">
        <f t="shared" ref="AI153:AK153" si="2040">_xlfn.RANK.EQ(AH153, AH$7:AH$375,0)</f>
        <v>127</v>
      </c>
      <c r="AJ153" s="4">
        <v>0.76800000000000002</v>
      </c>
      <c r="AK153" s="2">
        <f t="shared" si="2040"/>
        <v>127</v>
      </c>
      <c r="AL153" s="2">
        <v>38</v>
      </c>
      <c r="AM153" s="2">
        <f t="shared" ref="AM153:AO153" si="2041">_xlfn.RANK.EQ(AL153, AL$7:AL$375,0)</f>
        <v>119</v>
      </c>
      <c r="AN153" s="2">
        <v>139</v>
      </c>
      <c r="AO153" s="2">
        <f t="shared" si="2041"/>
        <v>87</v>
      </c>
      <c r="AP153" s="2">
        <v>177</v>
      </c>
      <c r="AQ153" s="2">
        <f t="shared" ref="AQ153:AS153" si="2042">_xlfn.RANK.EQ(AP153, AP$7:AP$375,0)</f>
        <v>88</v>
      </c>
      <c r="AR153" s="2">
        <v>85</v>
      </c>
      <c r="AS153" s="2">
        <f t="shared" si="2042"/>
        <v>153</v>
      </c>
      <c r="AT153" s="2">
        <v>47</v>
      </c>
      <c r="AU153" s="2">
        <f t="shared" ref="AU153:AW153" si="2043">_xlfn.RANK.EQ(AT153, AT$7:AT$375,0)</f>
        <v>152</v>
      </c>
      <c r="AV153" s="2">
        <v>53</v>
      </c>
      <c r="AW153" s="2">
        <f t="shared" si="2043"/>
        <v>48</v>
      </c>
      <c r="AX153" s="2">
        <v>7</v>
      </c>
      <c r="AY153" s="2">
        <f t="shared" ref="AY153:BA153" si="2044">_xlfn.RANK.EQ(AX153, AX$7:AX$375,0)</f>
        <v>138</v>
      </c>
      <c r="AZ153" s="2">
        <v>11</v>
      </c>
      <c r="BA153" s="2">
        <f t="shared" si="2044"/>
        <v>132</v>
      </c>
      <c r="BB153" s="2">
        <v>77</v>
      </c>
      <c r="BC153" s="2">
        <f t="shared" ref="BC153:BE153" si="2045">_xlfn.RANK.EQ(BB153, BB$7:BB$375,0)</f>
        <v>200</v>
      </c>
      <c r="BD153" s="2">
        <v>73</v>
      </c>
      <c r="BE153" s="2">
        <f t="shared" si="2045"/>
        <v>140</v>
      </c>
      <c r="BF153" s="2">
        <v>420</v>
      </c>
      <c r="BG153" s="2">
        <f t="shared" ref="BG153:BI153" si="2046">_xlfn.RANK.EQ(BF153, BF$7:BF$375,0)</f>
        <v>116</v>
      </c>
      <c r="BH153" s="2">
        <v>17</v>
      </c>
      <c r="BI153" s="2">
        <f t="shared" si="2046"/>
        <v>123</v>
      </c>
    </row>
    <row r="154" spans="1:61" x14ac:dyDescent="0.55000000000000004">
      <c r="A154" s="2">
        <v>148</v>
      </c>
      <c r="B154" s="2" t="s">
        <v>204</v>
      </c>
      <c r="C154" s="2" t="s">
        <v>69</v>
      </c>
      <c r="D154" s="2">
        <v>56</v>
      </c>
      <c r="E154" s="2">
        <f t="shared" si="1794"/>
        <v>124</v>
      </c>
      <c r="F154" s="2">
        <v>31</v>
      </c>
      <c r="G154" s="2">
        <f t="shared" ref="G154:I154" si="2047">_xlfn.RANK.EQ(F154, F$7:F$375,0)</f>
        <v>117</v>
      </c>
      <c r="H154" s="3">
        <v>46.758333333333333</v>
      </c>
      <c r="I154" s="2">
        <f t="shared" si="2047"/>
        <v>124</v>
      </c>
      <c r="J154" s="5">
        <v>0.83472222222222225</v>
      </c>
      <c r="K154" s="2">
        <f t="shared" ref="K154:M154" si="2048">_xlfn.RANK.EQ(J154, J$7:J$375,0)</f>
        <v>150</v>
      </c>
      <c r="L154" s="2">
        <v>321</v>
      </c>
      <c r="M154" s="2">
        <f t="shared" si="2048"/>
        <v>148</v>
      </c>
      <c r="N154" s="2">
        <v>110</v>
      </c>
      <c r="O154" s="2">
        <f t="shared" ref="O154:Q154" si="2049">_xlfn.RANK.EQ(N154, N$7:N$375,0)</f>
        <v>151</v>
      </c>
      <c r="P154" s="2">
        <v>242</v>
      </c>
      <c r="Q154" s="2">
        <f t="shared" si="2049"/>
        <v>170</v>
      </c>
      <c r="R154" s="4">
        <v>0.45500000000000002</v>
      </c>
      <c r="S154" s="2">
        <f t="shared" ref="S154:U154" si="2050">_xlfn.RANK.EQ(R154, R$7:R$375,0)</f>
        <v>110</v>
      </c>
      <c r="T154" s="2">
        <v>55</v>
      </c>
      <c r="U154" s="2">
        <f t="shared" si="2050"/>
        <v>162</v>
      </c>
      <c r="V154" s="2">
        <v>104</v>
      </c>
      <c r="W154" s="2">
        <f t="shared" ref="W154:Y154" si="2051">_xlfn.RANK.EQ(V154, V$7:V$375,0)</f>
        <v>172</v>
      </c>
      <c r="X154" s="4">
        <v>0.52900000000000003</v>
      </c>
      <c r="Y154" s="2">
        <f t="shared" si="2051"/>
        <v>141</v>
      </c>
      <c r="Z154" s="2">
        <v>55</v>
      </c>
      <c r="AA154" s="2">
        <f t="shared" ref="AA154:AC154" si="2052">_xlfn.RANK.EQ(Z154, Z$7:Z$375,0)</f>
        <v>107</v>
      </c>
      <c r="AB154" s="2">
        <v>138</v>
      </c>
      <c r="AC154" s="2">
        <f t="shared" si="2052"/>
        <v>133</v>
      </c>
      <c r="AD154" s="4">
        <v>0.39900000000000002</v>
      </c>
      <c r="AE154" s="2">
        <f t="shared" ref="AE154:AG154" si="2053">_xlfn.RANK.EQ(AD154, AD$7:AD$375,0)</f>
        <v>40</v>
      </c>
      <c r="AF154" s="2">
        <v>46</v>
      </c>
      <c r="AG154" s="2">
        <f t="shared" si="2053"/>
        <v>135</v>
      </c>
      <c r="AH154" s="2">
        <v>57</v>
      </c>
      <c r="AI154" s="2">
        <f t="shared" ref="AI154:AK154" si="2054">_xlfn.RANK.EQ(AH154, AH$7:AH$375,0)</f>
        <v>144</v>
      </c>
      <c r="AJ154" s="4">
        <v>0.80700000000000005</v>
      </c>
      <c r="AK154" s="2">
        <f t="shared" si="2054"/>
        <v>79</v>
      </c>
      <c r="AL154" s="2">
        <v>37</v>
      </c>
      <c r="AM154" s="2">
        <f t="shared" ref="AM154:AO154" si="2055">_xlfn.RANK.EQ(AL154, AL$7:AL$375,0)</f>
        <v>123</v>
      </c>
      <c r="AN154" s="2">
        <v>41</v>
      </c>
      <c r="AO154" s="2">
        <f t="shared" si="2055"/>
        <v>227</v>
      </c>
      <c r="AP154" s="2">
        <v>78</v>
      </c>
      <c r="AQ154" s="2">
        <f t="shared" ref="AQ154:AS154" si="2056">_xlfn.RANK.EQ(AP154, AP$7:AP$375,0)</f>
        <v>191</v>
      </c>
      <c r="AR154" s="2">
        <v>73</v>
      </c>
      <c r="AS154" s="2">
        <f t="shared" si="2056"/>
        <v>173</v>
      </c>
      <c r="AT154" s="2">
        <v>34</v>
      </c>
      <c r="AU154" s="2">
        <f t="shared" ref="AU154:AW154" si="2057">_xlfn.RANK.EQ(AT154, AT$7:AT$375,0)</f>
        <v>196</v>
      </c>
      <c r="AV154" s="2">
        <v>28</v>
      </c>
      <c r="AW154" s="2">
        <f t="shared" si="2057"/>
        <v>156</v>
      </c>
      <c r="AX154" s="2">
        <v>5</v>
      </c>
      <c r="AY154" s="2">
        <f t="shared" ref="AY154:BA154" si="2058">_xlfn.RANK.EQ(AX154, AX$7:AX$375,0)</f>
        <v>169</v>
      </c>
      <c r="AZ154" s="2">
        <v>12</v>
      </c>
      <c r="BA154" s="2">
        <f t="shared" si="2058"/>
        <v>124</v>
      </c>
      <c r="BB154" s="2">
        <v>137</v>
      </c>
      <c r="BC154" s="2">
        <f t="shared" ref="BC154:BE154" si="2059">_xlfn.RANK.EQ(BB154, BB$7:BB$375,0)</f>
        <v>39</v>
      </c>
      <c r="BD154" s="2">
        <v>75</v>
      </c>
      <c r="BE154" s="2">
        <f t="shared" si="2059"/>
        <v>138</v>
      </c>
      <c r="BF154" s="2">
        <v>254</v>
      </c>
      <c r="BG154" s="2">
        <f t="shared" ref="BG154:BI154" si="2060">_xlfn.RANK.EQ(BF154, BF$7:BF$375,0)</f>
        <v>161</v>
      </c>
      <c r="BH154" s="2">
        <v>-22</v>
      </c>
      <c r="BI154" s="2">
        <f t="shared" si="2060"/>
        <v>197</v>
      </c>
    </row>
    <row r="155" spans="1:61" x14ac:dyDescent="0.55000000000000004">
      <c r="A155" s="2">
        <v>148</v>
      </c>
      <c r="B155" s="2" t="s">
        <v>205</v>
      </c>
      <c r="C155" s="2" t="s">
        <v>106</v>
      </c>
      <c r="D155" s="2">
        <v>39</v>
      </c>
      <c r="E155" s="2">
        <f t="shared" si="1794"/>
        <v>248</v>
      </c>
      <c r="F155" s="2">
        <v>32</v>
      </c>
      <c r="G155" s="2">
        <f t="shared" ref="G155:I155" si="2061">_xlfn.RANK.EQ(F155, F$7:F$375,0)</f>
        <v>113</v>
      </c>
      <c r="H155" s="3">
        <v>39.15486111111111</v>
      </c>
      <c r="I155" s="2">
        <f t="shared" si="2061"/>
        <v>152</v>
      </c>
      <c r="J155" s="3">
        <v>1.0034722222222223</v>
      </c>
      <c r="K155" s="2">
        <f t="shared" ref="K155:M155" si="2062">_xlfn.RANK.EQ(J155, J$7:J$375,0)</f>
        <v>92</v>
      </c>
      <c r="L155" s="2">
        <v>321</v>
      </c>
      <c r="M155" s="2">
        <f t="shared" si="2062"/>
        <v>148</v>
      </c>
      <c r="N155" s="2">
        <v>115</v>
      </c>
      <c r="O155" s="2">
        <f t="shared" ref="O155:Q155" si="2063">_xlfn.RANK.EQ(N155, N$7:N$375,0)</f>
        <v>147</v>
      </c>
      <c r="P155" s="2">
        <v>319</v>
      </c>
      <c r="Q155" s="2">
        <f t="shared" si="2063"/>
        <v>127</v>
      </c>
      <c r="R155" s="4">
        <v>0.36099999999999999</v>
      </c>
      <c r="S155" s="2">
        <f t="shared" ref="S155:U155" si="2064">_xlfn.RANK.EQ(R155, R$7:R$375,0)</f>
        <v>263</v>
      </c>
      <c r="T155" s="2">
        <v>70</v>
      </c>
      <c r="U155" s="2">
        <f t="shared" si="2064"/>
        <v>141</v>
      </c>
      <c r="V155" s="2">
        <v>165</v>
      </c>
      <c r="W155" s="2">
        <f t="shared" ref="W155:Y155" si="2065">_xlfn.RANK.EQ(V155, V$7:V$375,0)</f>
        <v>123</v>
      </c>
      <c r="X155" s="4">
        <v>0.42399999999999999</v>
      </c>
      <c r="Y155" s="2">
        <f t="shared" si="2065"/>
        <v>275</v>
      </c>
      <c r="Z155" s="2">
        <v>45</v>
      </c>
      <c r="AA155" s="2">
        <f t="shared" ref="AA155:AC155" si="2066">_xlfn.RANK.EQ(Z155, Z$7:Z$375,0)</f>
        <v>133</v>
      </c>
      <c r="AB155" s="2">
        <v>154</v>
      </c>
      <c r="AC155" s="2">
        <f t="shared" si="2066"/>
        <v>120</v>
      </c>
      <c r="AD155" s="4">
        <v>0.29199999999999998</v>
      </c>
      <c r="AE155" s="2">
        <f t="shared" ref="AE155:AG155" si="2067">_xlfn.RANK.EQ(AD155, AD$7:AD$375,0)</f>
        <v>227</v>
      </c>
      <c r="AF155" s="2">
        <v>46</v>
      </c>
      <c r="AG155" s="2">
        <f t="shared" si="2067"/>
        <v>135</v>
      </c>
      <c r="AH155" s="2">
        <v>67</v>
      </c>
      <c r="AI155" s="2">
        <f t="shared" ref="AI155:AK155" si="2068">_xlfn.RANK.EQ(AH155, AH$7:AH$375,0)</f>
        <v>130</v>
      </c>
      <c r="AJ155" s="4">
        <v>0.68700000000000006</v>
      </c>
      <c r="AK155" s="2">
        <f t="shared" si="2068"/>
        <v>210</v>
      </c>
      <c r="AL155" s="2">
        <v>20</v>
      </c>
      <c r="AM155" s="2">
        <f t="shared" ref="AM155:AO155" si="2069">_xlfn.RANK.EQ(AL155, AL$7:AL$375,0)</f>
        <v>198</v>
      </c>
      <c r="AN155" s="2">
        <v>68</v>
      </c>
      <c r="AO155" s="2">
        <f t="shared" si="2069"/>
        <v>165</v>
      </c>
      <c r="AP155" s="2">
        <v>88</v>
      </c>
      <c r="AQ155" s="2">
        <f t="shared" ref="AQ155:AS155" si="2070">_xlfn.RANK.EQ(AP155, AP$7:AP$375,0)</f>
        <v>176</v>
      </c>
      <c r="AR155" s="2">
        <v>136</v>
      </c>
      <c r="AS155" s="2">
        <f t="shared" si="2070"/>
        <v>85</v>
      </c>
      <c r="AT155" s="2">
        <v>86</v>
      </c>
      <c r="AU155" s="2">
        <f t="shared" ref="AU155:AW155" si="2071">_xlfn.RANK.EQ(AT155, AT$7:AT$375,0)</f>
        <v>69</v>
      </c>
      <c r="AV155" s="2">
        <v>24</v>
      </c>
      <c r="AW155" s="2">
        <f t="shared" si="2071"/>
        <v>180</v>
      </c>
      <c r="AX155" s="2">
        <v>6</v>
      </c>
      <c r="AY155" s="2">
        <f t="shared" ref="AY155:BA155" si="2072">_xlfn.RANK.EQ(AX155, AX$7:AX$375,0)</f>
        <v>156</v>
      </c>
      <c r="AZ155" s="2">
        <v>22</v>
      </c>
      <c r="BA155" s="2">
        <f t="shared" si="2072"/>
        <v>38</v>
      </c>
      <c r="BB155" s="2">
        <v>118</v>
      </c>
      <c r="BC155" s="2">
        <f t="shared" ref="BC155:BE155" si="2073">_xlfn.RANK.EQ(BB155, BB$7:BB$375,0)</f>
        <v>90</v>
      </c>
      <c r="BD155" s="2">
        <v>81</v>
      </c>
      <c r="BE155" s="2">
        <f t="shared" si="2073"/>
        <v>133</v>
      </c>
      <c r="BF155" s="2">
        <v>204</v>
      </c>
      <c r="BG155" s="2">
        <f t="shared" ref="BG155:BI155" si="2074">_xlfn.RANK.EQ(BF155, BF$7:BF$375,0)</f>
        <v>184</v>
      </c>
      <c r="BH155" s="2">
        <v>-161</v>
      </c>
      <c r="BI155" s="2">
        <f t="shared" si="2074"/>
        <v>326</v>
      </c>
    </row>
    <row r="156" spans="1:61" x14ac:dyDescent="0.55000000000000004">
      <c r="A156" s="2">
        <v>150</v>
      </c>
      <c r="B156" s="2" t="s">
        <v>206</v>
      </c>
      <c r="C156" s="2" t="s">
        <v>72</v>
      </c>
      <c r="D156" s="2">
        <v>30</v>
      </c>
      <c r="E156" s="2">
        <f t="shared" si="1794"/>
        <v>283</v>
      </c>
      <c r="F156" s="2">
        <v>12</v>
      </c>
      <c r="G156" s="2">
        <f t="shared" ref="G156:I156" si="2075">_xlfn.RANK.EQ(F156, F$7:F$375,0)</f>
        <v>192</v>
      </c>
      <c r="H156" s="3">
        <v>28.128472222222221</v>
      </c>
      <c r="I156" s="2">
        <f t="shared" si="2075"/>
        <v>213</v>
      </c>
      <c r="J156" s="5">
        <v>0.9375</v>
      </c>
      <c r="K156" s="2">
        <f t="shared" ref="K156:M156" si="2076">_xlfn.RANK.EQ(J156, J$7:J$375,0)</f>
        <v>113</v>
      </c>
      <c r="L156" s="2">
        <v>315</v>
      </c>
      <c r="M156" s="2">
        <f t="shared" si="2076"/>
        <v>150</v>
      </c>
      <c r="N156" s="2">
        <v>105</v>
      </c>
      <c r="O156" s="2">
        <f t="shared" ref="O156:Q156" si="2077">_xlfn.RANK.EQ(N156, N$7:N$375,0)</f>
        <v>159</v>
      </c>
      <c r="P156" s="2">
        <v>228</v>
      </c>
      <c r="Q156" s="2">
        <f t="shared" si="2077"/>
        <v>178</v>
      </c>
      <c r="R156" s="4">
        <v>0.46100000000000002</v>
      </c>
      <c r="S156" s="2">
        <f t="shared" ref="S156:U156" si="2078">_xlfn.RANK.EQ(R156, R$7:R$375,0)</f>
        <v>105</v>
      </c>
      <c r="T156" s="2">
        <v>35</v>
      </c>
      <c r="U156" s="2">
        <f t="shared" si="2078"/>
        <v>209</v>
      </c>
      <c r="V156" s="2">
        <v>80</v>
      </c>
      <c r="W156" s="2">
        <f t="shared" ref="W156:Y156" si="2079">_xlfn.RANK.EQ(V156, V$7:V$375,0)</f>
        <v>206</v>
      </c>
      <c r="X156" s="4">
        <v>0.438</v>
      </c>
      <c r="Y156" s="2">
        <f t="shared" si="2079"/>
        <v>256</v>
      </c>
      <c r="Z156" s="2">
        <v>70</v>
      </c>
      <c r="AA156" s="2">
        <f t="shared" ref="AA156:AC156" si="2080">_xlfn.RANK.EQ(Z156, Z$7:Z$375,0)</f>
        <v>77</v>
      </c>
      <c r="AB156" s="2">
        <v>148</v>
      </c>
      <c r="AC156" s="2">
        <f t="shared" si="2080"/>
        <v>125</v>
      </c>
      <c r="AD156" s="4">
        <v>0.47299999999999998</v>
      </c>
      <c r="AE156" s="2">
        <f t="shared" ref="AE156:AG156" si="2081">_xlfn.RANK.EQ(AD156, AD$7:AD$375,0)</f>
        <v>14</v>
      </c>
      <c r="AF156" s="2">
        <v>35</v>
      </c>
      <c r="AG156" s="2">
        <f t="shared" si="2081"/>
        <v>157</v>
      </c>
      <c r="AH156" s="2">
        <v>40</v>
      </c>
      <c r="AI156" s="2">
        <f t="shared" ref="AI156:AK156" si="2082">_xlfn.RANK.EQ(AH156, AH$7:AH$375,0)</f>
        <v>172</v>
      </c>
      <c r="AJ156" s="4">
        <v>0.875</v>
      </c>
      <c r="AK156" s="2">
        <f t="shared" si="2082"/>
        <v>25</v>
      </c>
      <c r="AL156" s="2">
        <v>15</v>
      </c>
      <c r="AM156" s="2">
        <f t="shared" ref="AM156:AO156" si="2083">_xlfn.RANK.EQ(AL156, AL$7:AL$375,0)</f>
        <v>241</v>
      </c>
      <c r="AN156" s="2">
        <v>32</v>
      </c>
      <c r="AO156" s="2">
        <f t="shared" si="2083"/>
        <v>253</v>
      </c>
      <c r="AP156" s="2">
        <v>47</v>
      </c>
      <c r="AQ156" s="2">
        <f t="shared" ref="AQ156:AS156" si="2084">_xlfn.RANK.EQ(AP156, AP$7:AP$375,0)</f>
        <v>254</v>
      </c>
      <c r="AR156" s="2">
        <v>27</v>
      </c>
      <c r="AS156" s="2">
        <f t="shared" si="2084"/>
        <v>254</v>
      </c>
      <c r="AT156" s="2">
        <v>18</v>
      </c>
      <c r="AU156" s="2">
        <f t="shared" ref="AU156:AW156" si="2085">_xlfn.RANK.EQ(AT156, AT$7:AT$375,0)</f>
        <v>262</v>
      </c>
      <c r="AV156" s="2">
        <v>12</v>
      </c>
      <c r="AW156" s="2">
        <f t="shared" si="2085"/>
        <v>260</v>
      </c>
      <c r="AX156" s="2">
        <v>5</v>
      </c>
      <c r="AY156" s="2">
        <f t="shared" ref="AY156:BA156" si="2086">_xlfn.RANK.EQ(AX156, AX$7:AX$375,0)</f>
        <v>169</v>
      </c>
      <c r="AZ156" s="2">
        <v>3</v>
      </c>
      <c r="BA156" s="2">
        <f t="shared" si="2086"/>
        <v>267</v>
      </c>
      <c r="BB156" s="2">
        <v>29</v>
      </c>
      <c r="BC156" s="2">
        <f t="shared" ref="BC156:BE156" si="2087">_xlfn.RANK.EQ(BB156, BB$7:BB$375,0)</f>
        <v>302</v>
      </c>
      <c r="BD156" s="2">
        <v>42</v>
      </c>
      <c r="BE156" s="2">
        <f t="shared" si="2087"/>
        <v>194</v>
      </c>
      <c r="BF156" s="2">
        <v>270</v>
      </c>
      <c r="BG156" s="2">
        <f t="shared" ref="BG156:BI156" si="2088">_xlfn.RANK.EQ(BF156, BF$7:BF$375,0)</f>
        <v>157</v>
      </c>
      <c r="BH156" s="2">
        <v>74</v>
      </c>
      <c r="BI156" s="2">
        <f t="shared" si="2088"/>
        <v>89</v>
      </c>
    </row>
    <row r="157" spans="1:61" x14ac:dyDescent="0.55000000000000004">
      <c r="A157" s="2">
        <v>151</v>
      </c>
      <c r="B157" s="2" t="s">
        <v>207</v>
      </c>
      <c r="C157" s="2" t="s">
        <v>72</v>
      </c>
      <c r="D157" s="2">
        <v>48</v>
      </c>
      <c r="E157" s="2">
        <f t="shared" si="1794"/>
        <v>201</v>
      </c>
      <c r="F157" s="2">
        <v>16</v>
      </c>
      <c r="G157" s="2">
        <f t="shared" ref="G157:I157" si="2089">_xlfn.RANK.EQ(F157, F$7:F$375,0)</f>
        <v>173</v>
      </c>
      <c r="H157" s="3">
        <v>45.279166666666669</v>
      </c>
      <c r="I157" s="2">
        <f t="shared" si="2089"/>
        <v>130</v>
      </c>
      <c r="J157" s="5">
        <v>0.94305555555555554</v>
      </c>
      <c r="K157" s="2">
        <f t="shared" ref="K157:M157" si="2090">_xlfn.RANK.EQ(J157, J$7:J$375,0)</f>
        <v>110</v>
      </c>
      <c r="L157" s="2">
        <v>313</v>
      </c>
      <c r="M157" s="2">
        <f t="shared" si="2090"/>
        <v>151</v>
      </c>
      <c r="N157" s="2">
        <v>119</v>
      </c>
      <c r="O157" s="2">
        <f t="shared" ref="O157:Q157" si="2091">_xlfn.RANK.EQ(N157, N$7:N$375,0)</f>
        <v>145</v>
      </c>
      <c r="P157" s="2">
        <v>319</v>
      </c>
      <c r="Q157" s="2">
        <f t="shared" si="2091"/>
        <v>127</v>
      </c>
      <c r="R157" s="4">
        <v>0.373</v>
      </c>
      <c r="S157" s="2">
        <f t="shared" ref="S157:U157" si="2092">_xlfn.RANK.EQ(R157, R$7:R$375,0)</f>
        <v>240</v>
      </c>
      <c r="T157" s="2">
        <v>58</v>
      </c>
      <c r="U157" s="2">
        <f t="shared" si="2092"/>
        <v>158</v>
      </c>
      <c r="V157" s="2">
        <v>108</v>
      </c>
      <c r="W157" s="2">
        <f t="shared" ref="W157:Y157" si="2093">_xlfn.RANK.EQ(V157, V$7:V$375,0)</f>
        <v>169</v>
      </c>
      <c r="X157" s="4">
        <v>0.53700000000000003</v>
      </c>
      <c r="Y157" s="2">
        <f t="shared" si="2093"/>
        <v>129</v>
      </c>
      <c r="Z157" s="2">
        <v>61</v>
      </c>
      <c r="AA157" s="2">
        <f t="shared" ref="AA157:AC157" si="2094">_xlfn.RANK.EQ(Z157, Z$7:Z$375,0)</f>
        <v>93</v>
      </c>
      <c r="AB157" s="2">
        <v>211</v>
      </c>
      <c r="AC157" s="2">
        <f t="shared" si="2094"/>
        <v>69</v>
      </c>
      <c r="AD157" s="4">
        <v>0.28899999999999998</v>
      </c>
      <c r="AE157" s="2">
        <f t="shared" ref="AE157:AG157" si="2095">_xlfn.RANK.EQ(AD157, AD$7:AD$375,0)</f>
        <v>232</v>
      </c>
      <c r="AF157" s="2">
        <v>14</v>
      </c>
      <c r="AG157" s="2">
        <f t="shared" si="2095"/>
        <v>244</v>
      </c>
      <c r="AH157" s="2">
        <v>28</v>
      </c>
      <c r="AI157" s="2">
        <f t="shared" ref="AI157:AK157" si="2096">_xlfn.RANK.EQ(AH157, AH$7:AH$375,0)</f>
        <v>216</v>
      </c>
      <c r="AJ157" s="4">
        <v>0.5</v>
      </c>
      <c r="AK157" s="2">
        <f t="shared" si="2096"/>
        <v>306</v>
      </c>
      <c r="AL157" s="2">
        <v>87</v>
      </c>
      <c r="AM157" s="2">
        <f t="shared" ref="AM157:AO157" si="2097">_xlfn.RANK.EQ(AL157, AL$7:AL$375,0)</f>
        <v>46</v>
      </c>
      <c r="AN157" s="2">
        <v>218</v>
      </c>
      <c r="AO157" s="2">
        <f t="shared" si="2097"/>
        <v>62</v>
      </c>
      <c r="AP157" s="2">
        <v>305</v>
      </c>
      <c r="AQ157" s="2">
        <f t="shared" ref="AQ157:AS157" si="2098">_xlfn.RANK.EQ(AP157, AP$7:AP$375,0)</f>
        <v>59</v>
      </c>
      <c r="AR157" s="2">
        <v>82</v>
      </c>
      <c r="AS157" s="2">
        <f t="shared" si="2098"/>
        <v>160</v>
      </c>
      <c r="AT157" s="2">
        <v>36</v>
      </c>
      <c r="AU157" s="2">
        <f t="shared" ref="AU157:AW157" si="2099">_xlfn.RANK.EQ(AT157, AT$7:AT$375,0)</f>
        <v>187</v>
      </c>
      <c r="AV157" s="2">
        <v>40</v>
      </c>
      <c r="AW157" s="2">
        <f t="shared" si="2099"/>
        <v>104</v>
      </c>
      <c r="AX157" s="2">
        <v>29</v>
      </c>
      <c r="AY157" s="2">
        <f t="shared" ref="AY157:BA157" si="2100">_xlfn.RANK.EQ(AX157, AX$7:AX$375,0)</f>
        <v>39</v>
      </c>
      <c r="AZ157" s="2">
        <v>3</v>
      </c>
      <c r="BA157" s="2">
        <f t="shared" si="2100"/>
        <v>267</v>
      </c>
      <c r="BB157" s="2">
        <v>59</v>
      </c>
      <c r="BC157" s="2">
        <f t="shared" ref="BC157:BE157" si="2101">_xlfn.RANK.EQ(BB157, BB$7:BB$375,0)</f>
        <v>246</v>
      </c>
      <c r="BD157" s="2">
        <v>37</v>
      </c>
      <c r="BE157" s="2">
        <f t="shared" si="2101"/>
        <v>213</v>
      </c>
      <c r="BF157" s="2">
        <v>491</v>
      </c>
      <c r="BG157" s="2">
        <f t="shared" ref="BG157:BI157" si="2102">_xlfn.RANK.EQ(BF157, BF$7:BF$375,0)</f>
        <v>104</v>
      </c>
      <c r="BH157" s="2">
        <v>59</v>
      </c>
      <c r="BI157" s="2">
        <f t="shared" si="2102"/>
        <v>98</v>
      </c>
    </row>
    <row r="158" spans="1:61" x14ac:dyDescent="0.55000000000000004">
      <c r="A158" s="2">
        <v>152</v>
      </c>
      <c r="B158" s="2" t="s">
        <v>208</v>
      </c>
      <c r="C158" s="2" t="s">
        <v>34</v>
      </c>
      <c r="D158" s="2">
        <v>57</v>
      </c>
      <c r="E158" s="2">
        <f t="shared" si="1794"/>
        <v>100</v>
      </c>
      <c r="F158" s="2">
        <v>8</v>
      </c>
      <c r="G158" s="2">
        <f t="shared" ref="G158:I158" si="2103">_xlfn.RANK.EQ(F158, F$7:F$375,0)</f>
        <v>214</v>
      </c>
      <c r="H158" s="3">
        <v>50.230555555555554</v>
      </c>
      <c r="I158" s="2">
        <f t="shared" si="2103"/>
        <v>109</v>
      </c>
      <c r="J158" s="5">
        <v>0.88055555555555554</v>
      </c>
      <c r="K158" s="2">
        <f t="shared" ref="K158:M158" si="2104">_xlfn.RANK.EQ(J158, J$7:J$375,0)</f>
        <v>139</v>
      </c>
      <c r="L158" s="2">
        <v>309</v>
      </c>
      <c r="M158" s="2">
        <f t="shared" si="2104"/>
        <v>152</v>
      </c>
      <c r="N158" s="2">
        <v>108</v>
      </c>
      <c r="O158" s="2">
        <f t="shared" ref="O158:Q158" si="2105">_xlfn.RANK.EQ(N158, N$7:N$375,0)</f>
        <v>155</v>
      </c>
      <c r="P158" s="2">
        <v>252</v>
      </c>
      <c r="Q158" s="2">
        <f t="shared" si="2105"/>
        <v>161</v>
      </c>
      <c r="R158" s="4">
        <v>0.42899999999999999</v>
      </c>
      <c r="S158" s="2">
        <f t="shared" ref="S158:U158" si="2106">_xlfn.RANK.EQ(R158, R$7:R$375,0)</f>
        <v>150</v>
      </c>
      <c r="T158" s="2">
        <v>45</v>
      </c>
      <c r="U158" s="2">
        <f t="shared" si="2106"/>
        <v>186</v>
      </c>
      <c r="V158" s="2">
        <v>88</v>
      </c>
      <c r="W158" s="2">
        <f t="shared" ref="W158:Y158" si="2107">_xlfn.RANK.EQ(V158, V$7:V$375,0)</f>
        <v>189</v>
      </c>
      <c r="X158" s="4">
        <v>0.51100000000000001</v>
      </c>
      <c r="Y158" s="2">
        <f t="shared" si="2107"/>
        <v>167</v>
      </c>
      <c r="Z158" s="2">
        <v>63</v>
      </c>
      <c r="AA158" s="2">
        <f t="shared" ref="AA158:AC158" si="2108">_xlfn.RANK.EQ(Z158, Z$7:Z$375,0)</f>
        <v>89</v>
      </c>
      <c r="AB158" s="2">
        <v>164</v>
      </c>
      <c r="AC158" s="2">
        <f t="shared" si="2108"/>
        <v>113</v>
      </c>
      <c r="AD158" s="4">
        <v>0.38400000000000001</v>
      </c>
      <c r="AE158" s="2">
        <f t="shared" ref="AE158:AG158" si="2109">_xlfn.RANK.EQ(AD158, AD$7:AD$375,0)</f>
        <v>62</v>
      </c>
      <c r="AF158" s="2">
        <v>30</v>
      </c>
      <c r="AG158" s="2">
        <f t="shared" si="2109"/>
        <v>168</v>
      </c>
      <c r="AH158" s="2">
        <v>45</v>
      </c>
      <c r="AI158" s="2">
        <f t="shared" ref="AI158:AK158" si="2110">_xlfn.RANK.EQ(AH158, AH$7:AH$375,0)</f>
        <v>159</v>
      </c>
      <c r="AJ158" s="4">
        <v>0.66700000000000004</v>
      </c>
      <c r="AK158" s="2">
        <f t="shared" si="2110"/>
        <v>227</v>
      </c>
      <c r="AL158" s="2">
        <v>39</v>
      </c>
      <c r="AM158" s="2">
        <f t="shared" ref="AM158:AO158" si="2111">_xlfn.RANK.EQ(AL158, AL$7:AL$375,0)</f>
        <v>115</v>
      </c>
      <c r="AN158" s="2">
        <v>100</v>
      </c>
      <c r="AO158" s="2">
        <f t="shared" si="2111"/>
        <v>108</v>
      </c>
      <c r="AP158" s="2">
        <v>139</v>
      </c>
      <c r="AQ158" s="2">
        <f t="shared" ref="AQ158:AS158" si="2112">_xlfn.RANK.EQ(AP158, AP$7:AP$375,0)</f>
        <v>110</v>
      </c>
      <c r="AR158" s="2">
        <v>64</v>
      </c>
      <c r="AS158" s="2">
        <f t="shared" si="2112"/>
        <v>190</v>
      </c>
      <c r="AT158" s="2">
        <v>42</v>
      </c>
      <c r="AU158" s="2">
        <f t="shared" ref="AU158:AW158" si="2113">_xlfn.RANK.EQ(AT158, AT$7:AT$375,0)</f>
        <v>166</v>
      </c>
      <c r="AV158" s="2">
        <v>43</v>
      </c>
      <c r="AW158" s="2">
        <f t="shared" si="2113"/>
        <v>90</v>
      </c>
      <c r="AX158" s="2">
        <v>8</v>
      </c>
      <c r="AY158" s="2">
        <f t="shared" ref="AY158:BA158" si="2114">_xlfn.RANK.EQ(AX158, AX$7:AX$375,0)</f>
        <v>125</v>
      </c>
      <c r="AZ158" s="2">
        <v>9</v>
      </c>
      <c r="BA158" s="2">
        <f t="shared" si="2114"/>
        <v>160</v>
      </c>
      <c r="BB158" s="2">
        <v>107</v>
      </c>
      <c r="BC158" s="2">
        <f t="shared" ref="BC158:BE158" si="2115">_xlfn.RANK.EQ(BB158, BB$7:BB$375,0)</f>
        <v>116</v>
      </c>
      <c r="BD158" s="2">
        <v>45</v>
      </c>
      <c r="BE158" s="2">
        <f t="shared" si="2115"/>
        <v>186</v>
      </c>
      <c r="BF158" s="2">
        <v>291</v>
      </c>
      <c r="BG158" s="2">
        <f t="shared" ref="BG158:BI158" si="2116">_xlfn.RANK.EQ(BF158, BF$7:BF$375,0)</f>
        <v>151</v>
      </c>
      <c r="BH158" s="2">
        <v>285</v>
      </c>
      <c r="BI158" s="2">
        <f t="shared" si="2116"/>
        <v>29</v>
      </c>
    </row>
    <row r="159" spans="1:61" x14ac:dyDescent="0.55000000000000004">
      <c r="A159" s="2">
        <v>153</v>
      </c>
      <c r="B159" s="2" t="s">
        <v>209</v>
      </c>
      <c r="C159" s="2" t="s">
        <v>50</v>
      </c>
      <c r="D159" s="2">
        <v>23</v>
      </c>
      <c r="E159" s="2">
        <f t="shared" si="1794"/>
        <v>309</v>
      </c>
      <c r="F159" s="2">
        <v>16</v>
      </c>
      <c r="G159" s="2">
        <f t="shared" ref="G159:I159" si="2117">_xlfn.RANK.EQ(F159, F$7:F$375,0)</f>
        <v>173</v>
      </c>
      <c r="H159" s="3">
        <v>21.417361111111113</v>
      </c>
      <c r="I159" s="2">
        <f t="shared" si="2117"/>
        <v>245</v>
      </c>
      <c r="J159" s="5">
        <v>0.93055555555555558</v>
      </c>
      <c r="K159" s="2">
        <f t="shared" ref="K159:M159" si="2118">_xlfn.RANK.EQ(J159, J$7:J$375,0)</f>
        <v>115</v>
      </c>
      <c r="L159" s="2">
        <v>307</v>
      </c>
      <c r="M159" s="2">
        <f t="shared" si="2118"/>
        <v>153</v>
      </c>
      <c r="N159" s="2">
        <v>114</v>
      </c>
      <c r="O159" s="2">
        <f t="shared" ref="O159:Q159" si="2119">_xlfn.RANK.EQ(N159, N$7:N$375,0)</f>
        <v>149</v>
      </c>
      <c r="P159" s="2">
        <v>204</v>
      </c>
      <c r="Q159" s="2">
        <f t="shared" si="2119"/>
        <v>196</v>
      </c>
      <c r="R159" s="4">
        <v>0.55900000000000005</v>
      </c>
      <c r="S159" s="2">
        <f t="shared" ref="S159:U159" si="2120">_xlfn.RANK.EQ(R159, R$7:R$375,0)</f>
        <v>33</v>
      </c>
      <c r="T159" s="2">
        <v>104</v>
      </c>
      <c r="U159" s="2">
        <f t="shared" si="2120"/>
        <v>101</v>
      </c>
      <c r="V159" s="2">
        <v>167</v>
      </c>
      <c r="W159" s="2">
        <f t="shared" ref="W159:Y159" si="2121">_xlfn.RANK.EQ(V159, V$7:V$375,0)</f>
        <v>120</v>
      </c>
      <c r="X159" s="4">
        <v>0.623</v>
      </c>
      <c r="Y159" s="2">
        <f t="shared" si="2121"/>
        <v>41</v>
      </c>
      <c r="Z159" s="2">
        <v>10</v>
      </c>
      <c r="AA159" s="2">
        <f t="shared" ref="AA159:AC159" si="2122">_xlfn.RANK.EQ(Z159, Z$7:Z$375,0)</f>
        <v>254</v>
      </c>
      <c r="AB159" s="2">
        <v>37</v>
      </c>
      <c r="AC159" s="2">
        <f t="shared" si="2122"/>
        <v>256</v>
      </c>
      <c r="AD159" s="4">
        <v>0.27</v>
      </c>
      <c r="AE159" s="2">
        <f t="shared" ref="AE159:AG159" si="2123">_xlfn.RANK.EQ(AD159, AD$7:AD$375,0)</f>
        <v>251</v>
      </c>
      <c r="AF159" s="2">
        <v>69</v>
      </c>
      <c r="AG159" s="2">
        <f t="shared" si="2123"/>
        <v>101</v>
      </c>
      <c r="AH159" s="2">
        <v>111</v>
      </c>
      <c r="AI159" s="2">
        <f t="shared" ref="AI159:AK159" si="2124">_xlfn.RANK.EQ(AH159, AH$7:AH$375,0)</f>
        <v>89</v>
      </c>
      <c r="AJ159" s="4">
        <v>0.622</v>
      </c>
      <c r="AK159" s="2">
        <f t="shared" si="2124"/>
        <v>261</v>
      </c>
      <c r="AL159" s="2">
        <v>22</v>
      </c>
      <c r="AM159" s="2">
        <f t="shared" ref="AM159:AO159" si="2125">_xlfn.RANK.EQ(AL159, AL$7:AL$375,0)</f>
        <v>188</v>
      </c>
      <c r="AN159" s="2">
        <v>90</v>
      </c>
      <c r="AO159" s="2">
        <f t="shared" si="2125"/>
        <v>122</v>
      </c>
      <c r="AP159" s="2">
        <v>112</v>
      </c>
      <c r="AQ159" s="2">
        <f t="shared" ref="AQ159:AS159" si="2126">_xlfn.RANK.EQ(AP159, AP$7:AP$375,0)</f>
        <v>140</v>
      </c>
      <c r="AR159" s="2">
        <v>44</v>
      </c>
      <c r="AS159" s="2">
        <f t="shared" si="2126"/>
        <v>229</v>
      </c>
      <c r="AT159" s="2">
        <v>39</v>
      </c>
      <c r="AU159" s="2">
        <f t="shared" ref="AU159:AW159" si="2127">_xlfn.RANK.EQ(AT159, AT$7:AT$375,0)</f>
        <v>181</v>
      </c>
      <c r="AV159" s="2">
        <v>31</v>
      </c>
      <c r="AW159" s="2">
        <f t="shared" si="2127"/>
        <v>139</v>
      </c>
      <c r="AX159" s="2">
        <v>22</v>
      </c>
      <c r="AY159" s="2">
        <f t="shared" ref="AY159:BA159" si="2128">_xlfn.RANK.EQ(AX159, AX$7:AX$375,0)</f>
        <v>59</v>
      </c>
      <c r="AZ159" s="2">
        <v>9</v>
      </c>
      <c r="BA159" s="2">
        <f t="shared" si="2128"/>
        <v>160</v>
      </c>
      <c r="BB159" s="2">
        <v>48</v>
      </c>
      <c r="BC159" s="2">
        <f t="shared" ref="BC159:BE159" si="2129">_xlfn.RANK.EQ(BB159, BB$7:BB$375,0)</f>
        <v>268</v>
      </c>
      <c r="BD159" s="2">
        <v>109</v>
      </c>
      <c r="BE159" s="2">
        <f t="shared" si="2129"/>
        <v>102</v>
      </c>
      <c r="BF159" s="2">
        <v>397</v>
      </c>
      <c r="BG159" s="2">
        <f t="shared" ref="BG159:BI159" si="2130">_xlfn.RANK.EQ(BF159, BF$7:BF$375,0)</f>
        <v>125</v>
      </c>
      <c r="BH159" s="2">
        <v>20</v>
      </c>
      <c r="BI159" s="2">
        <f t="shared" si="2130"/>
        <v>121</v>
      </c>
    </row>
    <row r="160" spans="1:61" x14ac:dyDescent="0.55000000000000004">
      <c r="A160" s="2">
        <v>153</v>
      </c>
      <c r="B160" s="2" t="s">
        <v>210</v>
      </c>
      <c r="C160" s="2" t="s">
        <v>38</v>
      </c>
      <c r="D160" s="2">
        <v>54</v>
      </c>
      <c r="E160" s="2">
        <f t="shared" si="1794"/>
        <v>155</v>
      </c>
      <c r="F160" s="2">
        <v>25</v>
      </c>
      <c r="G160" s="2">
        <f t="shared" ref="G160:I160" si="2131">_xlfn.RANK.EQ(F160, F$7:F$375,0)</f>
        <v>132</v>
      </c>
      <c r="H160" s="3">
        <v>35.841666666666669</v>
      </c>
      <c r="I160" s="2">
        <f t="shared" si="2131"/>
        <v>169</v>
      </c>
      <c r="J160" s="5">
        <v>0.66319444444444442</v>
      </c>
      <c r="K160" s="2">
        <f t="shared" ref="K160:M160" si="2132">_xlfn.RANK.EQ(J160, J$7:J$375,0)</f>
        <v>205</v>
      </c>
      <c r="L160" s="2">
        <v>307</v>
      </c>
      <c r="M160" s="2">
        <f t="shared" si="2132"/>
        <v>153</v>
      </c>
      <c r="N160" s="2">
        <v>107</v>
      </c>
      <c r="O160" s="2">
        <f t="shared" ref="O160:Q160" si="2133">_xlfn.RANK.EQ(N160, N$7:N$375,0)</f>
        <v>156</v>
      </c>
      <c r="P160" s="2">
        <v>228</v>
      </c>
      <c r="Q160" s="2">
        <f t="shared" si="2133"/>
        <v>178</v>
      </c>
      <c r="R160" s="4">
        <v>0.46899999999999997</v>
      </c>
      <c r="S160" s="2">
        <f t="shared" ref="S160:U160" si="2134">_xlfn.RANK.EQ(R160, R$7:R$375,0)</f>
        <v>92</v>
      </c>
      <c r="T160" s="2">
        <v>44</v>
      </c>
      <c r="U160" s="2">
        <f t="shared" si="2134"/>
        <v>189</v>
      </c>
      <c r="V160" s="2">
        <v>86</v>
      </c>
      <c r="W160" s="2">
        <f t="shared" ref="W160:Y160" si="2135">_xlfn.RANK.EQ(V160, V$7:V$375,0)</f>
        <v>196</v>
      </c>
      <c r="X160" s="4">
        <v>0.51200000000000001</v>
      </c>
      <c r="Y160" s="2">
        <f t="shared" si="2135"/>
        <v>165</v>
      </c>
      <c r="Z160" s="2">
        <v>63</v>
      </c>
      <c r="AA160" s="2">
        <f t="shared" ref="AA160:AC160" si="2136">_xlfn.RANK.EQ(Z160, Z$7:Z$375,0)</f>
        <v>89</v>
      </c>
      <c r="AB160" s="2">
        <v>142</v>
      </c>
      <c r="AC160" s="2">
        <f t="shared" si="2136"/>
        <v>127</v>
      </c>
      <c r="AD160" s="4">
        <v>0.44400000000000001</v>
      </c>
      <c r="AE160" s="2">
        <f t="shared" ref="AE160:AG160" si="2137">_xlfn.RANK.EQ(AD160, AD$7:AD$375,0)</f>
        <v>20</v>
      </c>
      <c r="AF160" s="2">
        <v>30</v>
      </c>
      <c r="AG160" s="2">
        <f t="shared" si="2137"/>
        <v>168</v>
      </c>
      <c r="AH160" s="2">
        <v>37</v>
      </c>
      <c r="AI160" s="2">
        <f t="shared" ref="AI160:AK160" si="2138">_xlfn.RANK.EQ(AH160, AH$7:AH$375,0)</f>
        <v>190</v>
      </c>
      <c r="AJ160" s="4">
        <v>0.81100000000000005</v>
      </c>
      <c r="AK160" s="2">
        <f t="shared" si="2138"/>
        <v>70</v>
      </c>
      <c r="AL160" s="2">
        <v>19</v>
      </c>
      <c r="AM160" s="2">
        <f t="shared" ref="AM160:AO160" si="2139">_xlfn.RANK.EQ(AL160, AL$7:AL$375,0)</f>
        <v>205</v>
      </c>
      <c r="AN160" s="2">
        <v>48</v>
      </c>
      <c r="AO160" s="2">
        <f t="shared" si="2139"/>
        <v>201</v>
      </c>
      <c r="AP160" s="2">
        <v>67</v>
      </c>
      <c r="AQ160" s="2">
        <f t="shared" ref="AQ160:AS160" si="2140">_xlfn.RANK.EQ(AP160, AP$7:AP$375,0)</f>
        <v>212</v>
      </c>
      <c r="AR160" s="2">
        <v>82</v>
      </c>
      <c r="AS160" s="2">
        <f t="shared" si="2140"/>
        <v>160</v>
      </c>
      <c r="AT160" s="2">
        <v>69</v>
      </c>
      <c r="AU160" s="2">
        <f t="shared" ref="AU160:AW160" si="2141">_xlfn.RANK.EQ(AT160, AT$7:AT$375,0)</f>
        <v>100</v>
      </c>
      <c r="AV160" s="2">
        <v>26</v>
      </c>
      <c r="AW160" s="2">
        <f t="shared" si="2141"/>
        <v>168</v>
      </c>
      <c r="AX160" s="2">
        <v>7</v>
      </c>
      <c r="AY160" s="2">
        <f t="shared" ref="AY160:BA160" si="2142">_xlfn.RANK.EQ(AX160, AX$7:AX$375,0)</f>
        <v>138</v>
      </c>
      <c r="AZ160" s="2">
        <v>13</v>
      </c>
      <c r="BA160" s="2">
        <f t="shared" si="2142"/>
        <v>114</v>
      </c>
      <c r="BB160" s="2">
        <v>111</v>
      </c>
      <c r="BC160" s="2">
        <f t="shared" ref="BC160:BE160" si="2143">_xlfn.RANK.EQ(BB160, BB$7:BB$375,0)</f>
        <v>107</v>
      </c>
      <c r="BD160" s="2">
        <v>42</v>
      </c>
      <c r="BE160" s="2">
        <f t="shared" si="2143"/>
        <v>194</v>
      </c>
      <c r="BF160" s="2">
        <v>210</v>
      </c>
      <c r="BG160" s="2">
        <f t="shared" ref="BG160:BI160" si="2144">_xlfn.RANK.EQ(BF160, BF$7:BF$375,0)</f>
        <v>181</v>
      </c>
      <c r="BH160" s="2">
        <v>73</v>
      </c>
      <c r="BI160" s="2">
        <f t="shared" si="2144"/>
        <v>91</v>
      </c>
    </row>
    <row r="161" spans="1:61" x14ac:dyDescent="0.55000000000000004">
      <c r="A161" s="2">
        <v>155</v>
      </c>
      <c r="B161" s="2" t="s">
        <v>211</v>
      </c>
      <c r="C161" s="2" t="s">
        <v>36</v>
      </c>
      <c r="D161" s="2">
        <v>60</v>
      </c>
      <c r="E161" s="2">
        <f t="shared" si="1794"/>
        <v>1</v>
      </c>
      <c r="F161" s="2">
        <v>54</v>
      </c>
      <c r="G161" s="2">
        <f t="shared" ref="G161:I161" si="2145">_xlfn.RANK.EQ(F161, F$7:F$375,0)</f>
        <v>34</v>
      </c>
      <c r="H161" s="3">
        <v>47.78541666666667</v>
      </c>
      <c r="I161" s="2">
        <f t="shared" si="2145"/>
        <v>118</v>
      </c>
      <c r="J161" s="5">
        <v>0.79583333333333328</v>
      </c>
      <c r="K161" s="2">
        <f t="shared" ref="K161:M161" si="2146">_xlfn.RANK.EQ(J161, J$7:J$375,0)</f>
        <v>163</v>
      </c>
      <c r="L161" s="2">
        <v>304</v>
      </c>
      <c r="M161" s="2">
        <f t="shared" si="2146"/>
        <v>155</v>
      </c>
      <c r="N161" s="2">
        <v>106</v>
      </c>
      <c r="O161" s="2">
        <f t="shared" ref="O161:Q161" si="2147">_xlfn.RANK.EQ(N161, N$7:N$375,0)</f>
        <v>158</v>
      </c>
      <c r="P161" s="2">
        <v>233</v>
      </c>
      <c r="Q161" s="2">
        <f t="shared" si="2147"/>
        <v>176</v>
      </c>
      <c r="R161" s="4">
        <v>0.45500000000000002</v>
      </c>
      <c r="S161" s="2">
        <f t="shared" ref="S161:U161" si="2148">_xlfn.RANK.EQ(R161, R$7:R$375,0)</f>
        <v>110</v>
      </c>
      <c r="T161" s="2">
        <v>69</v>
      </c>
      <c r="U161" s="2">
        <f t="shared" si="2148"/>
        <v>142</v>
      </c>
      <c r="V161" s="2">
        <v>143</v>
      </c>
      <c r="W161" s="2">
        <f t="shared" ref="W161:Y161" si="2149">_xlfn.RANK.EQ(V161, V$7:V$375,0)</f>
        <v>142</v>
      </c>
      <c r="X161" s="4">
        <v>0.48299999999999998</v>
      </c>
      <c r="Y161" s="2">
        <f t="shared" si="2149"/>
        <v>204</v>
      </c>
      <c r="Z161" s="2">
        <v>37</v>
      </c>
      <c r="AA161" s="2">
        <f t="shared" ref="AA161:AC161" si="2150">_xlfn.RANK.EQ(Z161, Z$7:Z$375,0)</f>
        <v>152</v>
      </c>
      <c r="AB161" s="2">
        <v>90</v>
      </c>
      <c r="AC161" s="2">
        <f t="shared" si="2150"/>
        <v>181</v>
      </c>
      <c r="AD161" s="4">
        <v>0.41099999999999998</v>
      </c>
      <c r="AE161" s="2">
        <f t="shared" ref="AE161:AG161" si="2151">_xlfn.RANK.EQ(AD161, AD$7:AD$375,0)</f>
        <v>32</v>
      </c>
      <c r="AF161" s="2">
        <v>55</v>
      </c>
      <c r="AG161" s="2">
        <f t="shared" si="2151"/>
        <v>119</v>
      </c>
      <c r="AH161" s="2">
        <v>65</v>
      </c>
      <c r="AI161" s="2">
        <f t="shared" ref="AI161:AK161" si="2152">_xlfn.RANK.EQ(AH161, AH$7:AH$375,0)</f>
        <v>135</v>
      </c>
      <c r="AJ161" s="4">
        <v>0.84599999999999997</v>
      </c>
      <c r="AK161" s="2">
        <f t="shared" si="2152"/>
        <v>38</v>
      </c>
      <c r="AL161" s="2">
        <v>25</v>
      </c>
      <c r="AM161" s="2">
        <f t="shared" ref="AM161:AO161" si="2153">_xlfn.RANK.EQ(AL161, AL$7:AL$375,0)</f>
        <v>173</v>
      </c>
      <c r="AN161" s="2">
        <v>75</v>
      </c>
      <c r="AO161" s="2">
        <f t="shared" si="2153"/>
        <v>154</v>
      </c>
      <c r="AP161" s="2">
        <v>100</v>
      </c>
      <c r="AQ161" s="2">
        <f t="shared" ref="AQ161:AS161" si="2154">_xlfn.RANK.EQ(AP161, AP$7:AP$375,0)</f>
        <v>161</v>
      </c>
      <c r="AR161" s="2">
        <v>198</v>
      </c>
      <c r="AS161" s="2">
        <f t="shared" si="2154"/>
        <v>34</v>
      </c>
      <c r="AT161" s="2">
        <v>54</v>
      </c>
      <c r="AU161" s="2">
        <f t="shared" ref="AU161:AW161" si="2155">_xlfn.RANK.EQ(AT161, AT$7:AT$375,0)</f>
        <v>137</v>
      </c>
      <c r="AV161" s="2">
        <v>47</v>
      </c>
      <c r="AW161" s="2">
        <f t="shared" si="2155"/>
        <v>73</v>
      </c>
      <c r="AX161" s="2">
        <v>1</v>
      </c>
      <c r="AY161" s="2">
        <f t="shared" ref="AY161:BA161" si="2156">_xlfn.RANK.EQ(AX161, AX$7:AX$375,0)</f>
        <v>265</v>
      </c>
      <c r="AZ161" s="2">
        <v>7</v>
      </c>
      <c r="BA161" s="2">
        <f t="shared" si="2156"/>
        <v>195</v>
      </c>
      <c r="BB161" s="2">
        <v>156</v>
      </c>
      <c r="BC161" s="2">
        <f t="shared" ref="BC161:BE161" si="2157">_xlfn.RANK.EQ(BB161, BB$7:BB$375,0)</f>
        <v>11</v>
      </c>
      <c r="BD161" s="2">
        <v>105</v>
      </c>
      <c r="BE161" s="2">
        <f t="shared" si="2157"/>
        <v>105</v>
      </c>
      <c r="BF161" s="2">
        <v>401</v>
      </c>
      <c r="BG161" s="2">
        <f t="shared" ref="BG161:BI161" si="2158">_xlfn.RANK.EQ(BF161, BF$7:BF$375,0)</f>
        <v>124</v>
      </c>
      <c r="BH161" s="2">
        <v>177</v>
      </c>
      <c r="BI161" s="2">
        <f t="shared" si="2158"/>
        <v>52</v>
      </c>
    </row>
    <row r="162" spans="1:61" x14ac:dyDescent="0.55000000000000004">
      <c r="A162" s="2">
        <v>155</v>
      </c>
      <c r="B162" s="2" t="s">
        <v>212</v>
      </c>
      <c r="C162" s="2" t="s">
        <v>52</v>
      </c>
      <c r="D162" s="2">
        <v>54</v>
      </c>
      <c r="E162" s="2">
        <f t="shared" si="1794"/>
        <v>155</v>
      </c>
      <c r="F162" s="2">
        <v>15</v>
      </c>
      <c r="G162" s="2">
        <f t="shared" ref="G162:I162" si="2159">_xlfn.RANK.EQ(F162, F$7:F$375,0)</f>
        <v>178</v>
      </c>
      <c r="H162" s="3">
        <v>41.695833333333333</v>
      </c>
      <c r="I162" s="2">
        <f t="shared" si="2159"/>
        <v>145</v>
      </c>
      <c r="J162" s="5">
        <v>0.77152777777777781</v>
      </c>
      <c r="K162" s="2">
        <f t="shared" ref="K162:M162" si="2160">_xlfn.RANK.EQ(J162, J$7:J$375,0)</f>
        <v>173</v>
      </c>
      <c r="L162" s="2">
        <v>304</v>
      </c>
      <c r="M162" s="2">
        <f t="shared" si="2160"/>
        <v>155</v>
      </c>
      <c r="N162" s="2">
        <v>112</v>
      </c>
      <c r="O162" s="2">
        <f t="shared" ref="O162:Q162" si="2161">_xlfn.RANK.EQ(N162, N$7:N$375,0)</f>
        <v>150</v>
      </c>
      <c r="P162" s="2">
        <v>298</v>
      </c>
      <c r="Q162" s="2">
        <f t="shared" si="2161"/>
        <v>138</v>
      </c>
      <c r="R162" s="4">
        <v>0.376</v>
      </c>
      <c r="S162" s="2">
        <f t="shared" ref="S162:U162" si="2162">_xlfn.RANK.EQ(R162, R$7:R$375,0)</f>
        <v>237</v>
      </c>
      <c r="T162" s="2">
        <v>61</v>
      </c>
      <c r="U162" s="2">
        <f t="shared" si="2162"/>
        <v>154</v>
      </c>
      <c r="V162" s="2">
        <v>123</v>
      </c>
      <c r="W162" s="2">
        <f t="shared" ref="W162:Y162" si="2163">_xlfn.RANK.EQ(V162, V$7:V$375,0)</f>
        <v>157</v>
      </c>
      <c r="X162" s="4">
        <v>0.496</v>
      </c>
      <c r="Y162" s="2">
        <f t="shared" si="2163"/>
        <v>188</v>
      </c>
      <c r="Z162" s="2">
        <v>51</v>
      </c>
      <c r="AA162" s="2">
        <f t="shared" ref="AA162:AC162" si="2164">_xlfn.RANK.EQ(Z162, Z$7:Z$375,0)</f>
        <v>120</v>
      </c>
      <c r="AB162" s="2">
        <v>175</v>
      </c>
      <c r="AC162" s="2">
        <f t="shared" si="2164"/>
        <v>102</v>
      </c>
      <c r="AD162" s="4">
        <v>0.29099999999999998</v>
      </c>
      <c r="AE162" s="2">
        <f t="shared" ref="AE162:AG162" si="2165">_xlfn.RANK.EQ(AD162, AD$7:AD$375,0)</f>
        <v>229</v>
      </c>
      <c r="AF162" s="2">
        <v>29</v>
      </c>
      <c r="AG162" s="2">
        <f t="shared" si="2165"/>
        <v>176</v>
      </c>
      <c r="AH162" s="2">
        <v>38</v>
      </c>
      <c r="AI162" s="2">
        <f t="shared" ref="AI162:AK162" si="2166">_xlfn.RANK.EQ(AH162, AH$7:AH$375,0)</f>
        <v>181</v>
      </c>
      <c r="AJ162" s="4">
        <v>0.76300000000000001</v>
      </c>
      <c r="AK162" s="2">
        <f t="shared" si="2166"/>
        <v>131</v>
      </c>
      <c r="AL162" s="2">
        <v>40</v>
      </c>
      <c r="AM162" s="2">
        <f t="shared" ref="AM162:AO162" si="2167">_xlfn.RANK.EQ(AL162, AL$7:AL$375,0)</f>
        <v>110</v>
      </c>
      <c r="AN162" s="2">
        <v>84</v>
      </c>
      <c r="AO162" s="2">
        <f t="shared" si="2167"/>
        <v>134</v>
      </c>
      <c r="AP162" s="2">
        <v>124</v>
      </c>
      <c r="AQ162" s="2">
        <f t="shared" ref="AQ162:AS162" si="2168">_xlfn.RANK.EQ(AP162, AP$7:AP$375,0)</f>
        <v>125</v>
      </c>
      <c r="AR162" s="2">
        <v>48</v>
      </c>
      <c r="AS162" s="2">
        <f t="shared" si="2168"/>
        <v>223</v>
      </c>
      <c r="AT162" s="2">
        <v>35</v>
      </c>
      <c r="AU162" s="2">
        <f t="shared" ref="AU162:AW162" si="2169">_xlfn.RANK.EQ(AT162, AT$7:AT$375,0)</f>
        <v>193</v>
      </c>
      <c r="AV162" s="2">
        <v>43</v>
      </c>
      <c r="AW162" s="2">
        <f t="shared" si="2169"/>
        <v>90</v>
      </c>
      <c r="AX162" s="2">
        <v>21</v>
      </c>
      <c r="AY162" s="2">
        <f t="shared" ref="AY162:BA162" si="2170">_xlfn.RANK.EQ(AX162, AX$7:AX$375,0)</f>
        <v>63</v>
      </c>
      <c r="AZ162" s="2">
        <v>8</v>
      </c>
      <c r="BA162" s="2">
        <f t="shared" si="2170"/>
        <v>181</v>
      </c>
      <c r="BB162" s="2">
        <v>96</v>
      </c>
      <c r="BC162" s="2">
        <f t="shared" ref="BC162:BE162" si="2171">_xlfn.RANK.EQ(BB162, BB$7:BB$375,0)</f>
        <v>151</v>
      </c>
      <c r="BD162" s="2">
        <v>40</v>
      </c>
      <c r="BE162" s="2">
        <f t="shared" si="2171"/>
        <v>201</v>
      </c>
      <c r="BF162" s="2">
        <v>246</v>
      </c>
      <c r="BG162" s="2">
        <f t="shared" ref="BG162:BI162" si="2172">_xlfn.RANK.EQ(BF162, BF$7:BF$375,0)</f>
        <v>166</v>
      </c>
      <c r="BH162" s="2">
        <v>153</v>
      </c>
      <c r="BI162" s="2">
        <f t="shared" si="2172"/>
        <v>62</v>
      </c>
    </row>
    <row r="163" spans="1:61" x14ac:dyDescent="0.55000000000000004">
      <c r="A163" s="2">
        <v>157</v>
      </c>
      <c r="B163" s="2" t="s">
        <v>213</v>
      </c>
      <c r="C163" s="2" t="s">
        <v>34</v>
      </c>
      <c r="D163" s="2">
        <v>57</v>
      </c>
      <c r="E163" s="2">
        <f t="shared" si="1794"/>
        <v>100</v>
      </c>
      <c r="F163" s="2">
        <v>51</v>
      </c>
      <c r="G163" s="2">
        <f t="shared" ref="G163:I163" si="2173">_xlfn.RANK.EQ(F163, F$7:F$375,0)</f>
        <v>46</v>
      </c>
      <c r="H163" s="3">
        <v>59.395138888888887</v>
      </c>
      <c r="I163" s="2">
        <f t="shared" si="2173"/>
        <v>58</v>
      </c>
      <c r="J163" s="3">
        <v>1.0416666666666667</v>
      </c>
      <c r="K163" s="2">
        <f t="shared" ref="K163:M163" si="2174">_xlfn.RANK.EQ(J163, J$7:J$375,0)</f>
        <v>77</v>
      </c>
      <c r="L163" s="2">
        <v>298</v>
      </c>
      <c r="M163" s="2">
        <f t="shared" si="2174"/>
        <v>157</v>
      </c>
      <c r="N163" s="2">
        <v>107</v>
      </c>
      <c r="O163" s="2">
        <f t="shared" ref="O163:Q163" si="2175">_xlfn.RANK.EQ(N163, N$7:N$375,0)</f>
        <v>156</v>
      </c>
      <c r="P163" s="2">
        <v>275</v>
      </c>
      <c r="Q163" s="2">
        <f t="shared" si="2175"/>
        <v>147</v>
      </c>
      <c r="R163" s="4">
        <v>0.38900000000000001</v>
      </c>
      <c r="S163" s="2">
        <f t="shared" ref="S163:U163" si="2176">_xlfn.RANK.EQ(R163, R$7:R$375,0)</f>
        <v>225</v>
      </c>
      <c r="T163" s="2">
        <v>50</v>
      </c>
      <c r="U163" s="2">
        <f t="shared" si="2176"/>
        <v>172</v>
      </c>
      <c r="V163" s="2">
        <v>108</v>
      </c>
      <c r="W163" s="2">
        <f t="shared" ref="W163:Y163" si="2177">_xlfn.RANK.EQ(V163, V$7:V$375,0)</f>
        <v>169</v>
      </c>
      <c r="X163" s="4">
        <v>0.46300000000000002</v>
      </c>
      <c r="Y163" s="2">
        <f t="shared" si="2177"/>
        <v>229</v>
      </c>
      <c r="Z163" s="2">
        <v>57</v>
      </c>
      <c r="AA163" s="2">
        <f t="shared" ref="AA163:AC163" si="2178">_xlfn.RANK.EQ(Z163, Z$7:Z$375,0)</f>
        <v>100</v>
      </c>
      <c r="AB163" s="2">
        <v>167</v>
      </c>
      <c r="AC163" s="2">
        <f t="shared" si="2178"/>
        <v>111</v>
      </c>
      <c r="AD163" s="4">
        <v>0.34100000000000003</v>
      </c>
      <c r="AE163" s="2">
        <f t="shared" ref="AE163:AG163" si="2179">_xlfn.RANK.EQ(AD163, AD$7:AD$375,0)</f>
        <v>131</v>
      </c>
      <c r="AF163" s="2">
        <v>27</v>
      </c>
      <c r="AG163" s="2">
        <f t="shared" si="2179"/>
        <v>187</v>
      </c>
      <c r="AH163" s="2">
        <v>38</v>
      </c>
      <c r="AI163" s="2">
        <f t="shared" ref="AI163:AK163" si="2180">_xlfn.RANK.EQ(AH163, AH$7:AH$375,0)</f>
        <v>181</v>
      </c>
      <c r="AJ163" s="4">
        <v>0.71099999999999997</v>
      </c>
      <c r="AK163" s="2">
        <f t="shared" si="2180"/>
        <v>195</v>
      </c>
      <c r="AL163" s="2">
        <v>32</v>
      </c>
      <c r="AM163" s="2">
        <f t="shared" ref="AM163:AO163" si="2181">_xlfn.RANK.EQ(AL163, AL$7:AL$375,0)</f>
        <v>141</v>
      </c>
      <c r="AN163" s="2">
        <v>82</v>
      </c>
      <c r="AO163" s="2">
        <f t="shared" si="2181"/>
        <v>140</v>
      </c>
      <c r="AP163" s="2">
        <v>114</v>
      </c>
      <c r="AQ163" s="2">
        <f t="shared" ref="AQ163:AS163" si="2182">_xlfn.RANK.EQ(AP163, AP$7:AP$375,0)</f>
        <v>135</v>
      </c>
      <c r="AR163" s="2">
        <v>246</v>
      </c>
      <c r="AS163" s="2">
        <f t="shared" si="2182"/>
        <v>16</v>
      </c>
      <c r="AT163" s="2">
        <v>80</v>
      </c>
      <c r="AU163" s="2">
        <f t="shared" ref="AU163:AW163" si="2183">_xlfn.RANK.EQ(AT163, AT$7:AT$375,0)</f>
        <v>80</v>
      </c>
      <c r="AV163" s="2">
        <v>62</v>
      </c>
      <c r="AW163" s="2">
        <f t="shared" si="2183"/>
        <v>30</v>
      </c>
      <c r="AX163" s="2">
        <v>7</v>
      </c>
      <c r="AY163" s="2">
        <f t="shared" ref="AY163:BA163" si="2184">_xlfn.RANK.EQ(AX163, AX$7:AX$375,0)</f>
        <v>138</v>
      </c>
      <c r="AZ163" s="2">
        <v>10</v>
      </c>
      <c r="BA163" s="2">
        <f t="shared" si="2184"/>
        <v>144</v>
      </c>
      <c r="BB163" s="2">
        <v>168</v>
      </c>
      <c r="BC163" s="2">
        <f t="shared" ref="BC163:BE163" si="2185">_xlfn.RANK.EQ(BB163, BB$7:BB$375,0)</f>
        <v>6</v>
      </c>
      <c r="BD163" s="2">
        <v>83</v>
      </c>
      <c r="BE163" s="2">
        <f t="shared" si="2185"/>
        <v>129</v>
      </c>
      <c r="BF163" s="2">
        <v>373</v>
      </c>
      <c r="BG163" s="2">
        <f t="shared" ref="BG163:BI163" si="2186">_xlfn.RANK.EQ(BF163, BF$7:BF$375,0)</f>
        <v>129</v>
      </c>
      <c r="BH163" s="2">
        <v>440</v>
      </c>
      <c r="BI163" s="2">
        <f t="shared" si="2186"/>
        <v>7</v>
      </c>
    </row>
    <row r="164" spans="1:61" x14ac:dyDescent="0.55000000000000004">
      <c r="A164" s="2">
        <v>158</v>
      </c>
      <c r="B164" s="2" t="s">
        <v>214</v>
      </c>
      <c r="C164" s="2" t="s">
        <v>74</v>
      </c>
      <c r="D164" s="2">
        <v>41</v>
      </c>
      <c r="E164" s="2">
        <f t="shared" si="1794"/>
        <v>242</v>
      </c>
      <c r="F164" s="2">
        <v>34</v>
      </c>
      <c r="G164" s="2">
        <f t="shared" ref="G164:I164" si="2187">_xlfn.RANK.EQ(F164, F$7:F$375,0)</f>
        <v>109</v>
      </c>
      <c r="H164" s="3">
        <v>36.922222222222224</v>
      </c>
      <c r="I164" s="2">
        <f t="shared" si="2187"/>
        <v>163</v>
      </c>
      <c r="J164" s="5">
        <v>0.9</v>
      </c>
      <c r="K164" s="2">
        <f t="shared" ref="K164:M164" si="2188">_xlfn.RANK.EQ(J164, J$7:J$375,0)</f>
        <v>132</v>
      </c>
      <c r="L164" s="2">
        <v>297</v>
      </c>
      <c r="M164" s="2">
        <f t="shared" si="2188"/>
        <v>158</v>
      </c>
      <c r="N164" s="2">
        <v>102</v>
      </c>
      <c r="O164" s="2">
        <f t="shared" ref="O164:Q164" si="2189">_xlfn.RANK.EQ(N164, N$7:N$375,0)</f>
        <v>164</v>
      </c>
      <c r="P164" s="2">
        <v>287</v>
      </c>
      <c r="Q164" s="2">
        <f t="shared" si="2189"/>
        <v>142</v>
      </c>
      <c r="R164" s="4">
        <v>0.35499999999999998</v>
      </c>
      <c r="S164" s="2">
        <f t="shared" ref="S164:U164" si="2190">_xlfn.RANK.EQ(R164, R$7:R$375,0)</f>
        <v>271</v>
      </c>
      <c r="T164" s="2">
        <v>33</v>
      </c>
      <c r="U164" s="2">
        <f t="shared" si="2190"/>
        <v>216</v>
      </c>
      <c r="V164" s="2">
        <v>79</v>
      </c>
      <c r="W164" s="2">
        <f t="shared" ref="W164:Y164" si="2191">_xlfn.RANK.EQ(V164, V$7:V$375,0)</f>
        <v>209</v>
      </c>
      <c r="X164" s="4">
        <v>0.41799999999999998</v>
      </c>
      <c r="Y164" s="2">
        <f t="shared" si="2191"/>
        <v>281</v>
      </c>
      <c r="Z164" s="2">
        <v>69</v>
      </c>
      <c r="AA164" s="2">
        <f t="shared" ref="AA164:AC164" si="2192">_xlfn.RANK.EQ(Z164, Z$7:Z$375,0)</f>
        <v>78</v>
      </c>
      <c r="AB164" s="2">
        <v>208</v>
      </c>
      <c r="AC164" s="2">
        <f t="shared" si="2192"/>
        <v>73</v>
      </c>
      <c r="AD164" s="4">
        <v>0.33200000000000002</v>
      </c>
      <c r="AE164" s="2">
        <f t="shared" ref="AE164:AG164" si="2193">_xlfn.RANK.EQ(AD164, AD$7:AD$375,0)</f>
        <v>159</v>
      </c>
      <c r="AF164" s="2">
        <v>24</v>
      </c>
      <c r="AG164" s="2">
        <f t="shared" si="2193"/>
        <v>195</v>
      </c>
      <c r="AH164" s="2">
        <v>31</v>
      </c>
      <c r="AI164" s="2">
        <f t="shared" ref="AI164:AK164" si="2194">_xlfn.RANK.EQ(AH164, AH$7:AH$375,0)</f>
        <v>206</v>
      </c>
      <c r="AJ164" s="4">
        <v>0.77400000000000002</v>
      </c>
      <c r="AK164" s="2">
        <f t="shared" si="2194"/>
        <v>118</v>
      </c>
      <c r="AL164" s="2">
        <v>14</v>
      </c>
      <c r="AM164" s="2">
        <f t="shared" ref="AM164:AO164" si="2195">_xlfn.RANK.EQ(AL164, AL$7:AL$375,0)</f>
        <v>249</v>
      </c>
      <c r="AN164" s="2">
        <v>44</v>
      </c>
      <c r="AO164" s="2">
        <f t="shared" si="2195"/>
        <v>214</v>
      </c>
      <c r="AP164" s="2">
        <v>58</v>
      </c>
      <c r="AQ164" s="2">
        <f t="shared" ref="AQ164:AS164" si="2196">_xlfn.RANK.EQ(AP164, AP$7:AP$375,0)</f>
        <v>228</v>
      </c>
      <c r="AR164" s="2">
        <v>95</v>
      </c>
      <c r="AS164" s="2">
        <f t="shared" si="2196"/>
        <v>137</v>
      </c>
      <c r="AT164" s="2">
        <v>32</v>
      </c>
      <c r="AU164" s="2">
        <f t="shared" ref="AU164:AW164" si="2197">_xlfn.RANK.EQ(AT164, AT$7:AT$375,0)</f>
        <v>204</v>
      </c>
      <c r="AV164" s="2">
        <v>24</v>
      </c>
      <c r="AW164" s="2">
        <f t="shared" si="2197"/>
        <v>180</v>
      </c>
      <c r="AX164" s="2">
        <v>0</v>
      </c>
      <c r="AY164" s="2">
        <f t="shared" ref="AY164:BA164" si="2198">_xlfn.RANK.EQ(AX164, AX$7:AX$375,0)</f>
        <v>298</v>
      </c>
      <c r="AZ164" s="2">
        <v>9</v>
      </c>
      <c r="BA164" s="2">
        <f t="shared" si="2198"/>
        <v>160</v>
      </c>
      <c r="BB164" s="2">
        <v>100</v>
      </c>
      <c r="BC164" s="2">
        <f t="shared" ref="BC164:BE164" si="2199">_xlfn.RANK.EQ(BB164, BB$7:BB$375,0)</f>
        <v>139</v>
      </c>
      <c r="BD164" s="2">
        <v>60</v>
      </c>
      <c r="BE164" s="2">
        <f t="shared" si="2199"/>
        <v>156</v>
      </c>
      <c r="BF164" s="2">
        <v>201</v>
      </c>
      <c r="BG164" s="2">
        <f t="shared" ref="BG164:BI164" si="2200">_xlfn.RANK.EQ(BF164, BF$7:BF$375,0)</f>
        <v>189</v>
      </c>
      <c r="BH164" s="2">
        <v>-57</v>
      </c>
      <c r="BI164" s="2">
        <f t="shared" si="2200"/>
        <v>244</v>
      </c>
    </row>
    <row r="165" spans="1:61" x14ac:dyDescent="0.55000000000000004">
      <c r="A165" s="2">
        <v>159</v>
      </c>
      <c r="B165" s="2" t="s">
        <v>215</v>
      </c>
      <c r="C165" s="2" t="s">
        <v>89</v>
      </c>
      <c r="D165" s="2">
        <v>58</v>
      </c>
      <c r="E165" s="2">
        <f t="shared" si="1794"/>
        <v>78</v>
      </c>
      <c r="F165" s="2">
        <v>39</v>
      </c>
      <c r="G165" s="2">
        <f t="shared" ref="G165:I165" si="2201">_xlfn.RANK.EQ(F165, F$7:F$375,0)</f>
        <v>86</v>
      </c>
      <c r="H165" s="3">
        <v>48.202777777777776</v>
      </c>
      <c r="I165" s="2">
        <f t="shared" si="2201"/>
        <v>115</v>
      </c>
      <c r="J165" s="5">
        <v>0.8305555555555556</v>
      </c>
      <c r="K165" s="2">
        <f t="shared" ref="K165:M165" si="2202">_xlfn.RANK.EQ(J165, J$7:J$375,0)</f>
        <v>154</v>
      </c>
      <c r="L165" s="2">
        <v>295</v>
      </c>
      <c r="M165" s="2">
        <f t="shared" si="2202"/>
        <v>159</v>
      </c>
      <c r="N165" s="2">
        <v>101</v>
      </c>
      <c r="O165" s="2">
        <f t="shared" ref="O165:Q165" si="2203">_xlfn.RANK.EQ(N165, N$7:N$375,0)</f>
        <v>166</v>
      </c>
      <c r="P165" s="2">
        <v>322</v>
      </c>
      <c r="Q165" s="2">
        <f t="shared" si="2203"/>
        <v>126</v>
      </c>
      <c r="R165" s="4">
        <v>0.314</v>
      </c>
      <c r="S165" s="2">
        <f t="shared" ref="S165:U165" si="2204">_xlfn.RANK.EQ(R165, R$7:R$375,0)</f>
        <v>317</v>
      </c>
      <c r="T165" s="2">
        <v>21</v>
      </c>
      <c r="U165" s="2">
        <f t="shared" si="2204"/>
        <v>255</v>
      </c>
      <c r="V165" s="2">
        <v>65</v>
      </c>
      <c r="W165" s="2">
        <f t="shared" ref="W165:Y165" si="2205">_xlfn.RANK.EQ(V165, V$7:V$375,0)</f>
        <v>223</v>
      </c>
      <c r="X165" s="4">
        <v>0.32300000000000001</v>
      </c>
      <c r="Y165" s="2">
        <f t="shared" si="2205"/>
        <v>339</v>
      </c>
      <c r="Z165" s="2">
        <v>80</v>
      </c>
      <c r="AA165" s="2">
        <f t="shared" ref="AA165:AC165" si="2206">_xlfn.RANK.EQ(Z165, Z$7:Z$375,0)</f>
        <v>60</v>
      </c>
      <c r="AB165" s="2">
        <v>257</v>
      </c>
      <c r="AC165" s="2">
        <f t="shared" si="2206"/>
        <v>44</v>
      </c>
      <c r="AD165" s="4">
        <v>0.311</v>
      </c>
      <c r="AE165" s="2">
        <f t="shared" ref="AE165:AG165" si="2207">_xlfn.RANK.EQ(AD165, AD$7:AD$375,0)</f>
        <v>198</v>
      </c>
      <c r="AF165" s="2">
        <v>13</v>
      </c>
      <c r="AG165" s="2">
        <f t="shared" si="2207"/>
        <v>248</v>
      </c>
      <c r="AH165" s="2">
        <v>17</v>
      </c>
      <c r="AI165" s="2">
        <f t="shared" ref="AI165:AK165" si="2208">_xlfn.RANK.EQ(AH165, AH$7:AH$375,0)</f>
        <v>260</v>
      </c>
      <c r="AJ165" s="4">
        <v>0.76500000000000001</v>
      </c>
      <c r="AK165" s="2">
        <f t="shared" si="2208"/>
        <v>129</v>
      </c>
      <c r="AL165" s="2">
        <v>25</v>
      </c>
      <c r="AM165" s="2">
        <f t="shared" ref="AM165:AO165" si="2209">_xlfn.RANK.EQ(AL165, AL$7:AL$375,0)</f>
        <v>173</v>
      </c>
      <c r="AN165" s="2">
        <v>68</v>
      </c>
      <c r="AO165" s="2">
        <f t="shared" si="2209"/>
        <v>165</v>
      </c>
      <c r="AP165" s="2">
        <v>93</v>
      </c>
      <c r="AQ165" s="2">
        <f t="shared" ref="AQ165:AS165" si="2210">_xlfn.RANK.EQ(AP165, AP$7:AP$375,0)</f>
        <v>171</v>
      </c>
      <c r="AR165" s="2">
        <v>73</v>
      </c>
      <c r="AS165" s="2">
        <f t="shared" si="2210"/>
        <v>173</v>
      </c>
      <c r="AT165" s="2">
        <v>43</v>
      </c>
      <c r="AU165" s="2">
        <f t="shared" ref="AU165:AW165" si="2211">_xlfn.RANK.EQ(AT165, AT$7:AT$375,0)</f>
        <v>164</v>
      </c>
      <c r="AV165" s="2">
        <v>46</v>
      </c>
      <c r="AW165" s="2">
        <f t="shared" si="2211"/>
        <v>79</v>
      </c>
      <c r="AX165" s="2">
        <v>5</v>
      </c>
      <c r="AY165" s="2">
        <f t="shared" ref="AY165:BA165" si="2212">_xlfn.RANK.EQ(AX165, AX$7:AX$375,0)</f>
        <v>169</v>
      </c>
      <c r="AZ165" s="2">
        <v>11</v>
      </c>
      <c r="BA165" s="2">
        <f t="shared" si="2212"/>
        <v>132</v>
      </c>
      <c r="BB165" s="2">
        <v>106</v>
      </c>
      <c r="BC165" s="2">
        <f t="shared" ref="BC165:BE165" si="2213">_xlfn.RANK.EQ(BB165, BB$7:BB$375,0)</f>
        <v>120</v>
      </c>
      <c r="BD165" s="2">
        <v>26</v>
      </c>
      <c r="BE165" s="2">
        <f t="shared" si="2213"/>
        <v>248</v>
      </c>
      <c r="BF165" s="2">
        <v>153</v>
      </c>
      <c r="BG165" s="2">
        <f t="shared" ref="BG165:BI165" si="2214">_xlfn.RANK.EQ(BF165, BF$7:BF$375,0)</f>
        <v>204</v>
      </c>
      <c r="BH165" s="2">
        <v>269</v>
      </c>
      <c r="BI165" s="2">
        <f t="shared" si="2214"/>
        <v>34</v>
      </c>
    </row>
    <row r="166" spans="1:61" x14ac:dyDescent="0.55000000000000004">
      <c r="A166" s="2">
        <v>160</v>
      </c>
      <c r="B166" s="2" t="s">
        <v>216</v>
      </c>
      <c r="C166" s="2" t="s">
        <v>64</v>
      </c>
      <c r="D166" s="2">
        <v>47</v>
      </c>
      <c r="E166" s="2">
        <f t="shared" si="1794"/>
        <v>207</v>
      </c>
      <c r="F166" s="2">
        <v>7</v>
      </c>
      <c r="G166" s="2">
        <f t="shared" ref="G166:I166" si="2215">_xlfn.RANK.EQ(F166, F$7:F$375,0)</f>
        <v>218</v>
      </c>
      <c r="H166" s="3">
        <v>35.111805555555556</v>
      </c>
      <c r="I166" s="2">
        <f t="shared" si="2215"/>
        <v>172</v>
      </c>
      <c r="J166" s="5">
        <v>0.74652777777777779</v>
      </c>
      <c r="K166" s="2">
        <f t="shared" ref="K166:M166" si="2216">_xlfn.RANK.EQ(J166, J$7:J$375,0)</f>
        <v>179</v>
      </c>
      <c r="L166" s="2">
        <v>294</v>
      </c>
      <c r="M166" s="2">
        <f t="shared" si="2216"/>
        <v>160</v>
      </c>
      <c r="N166" s="2">
        <v>109</v>
      </c>
      <c r="O166" s="2">
        <f t="shared" ref="O166:Q166" si="2217">_xlfn.RANK.EQ(N166, N$7:N$375,0)</f>
        <v>153</v>
      </c>
      <c r="P166" s="2">
        <v>252</v>
      </c>
      <c r="Q166" s="2">
        <f t="shared" si="2217"/>
        <v>161</v>
      </c>
      <c r="R166" s="4">
        <v>0.433</v>
      </c>
      <c r="S166" s="2">
        <f t="shared" ref="S166:U166" si="2218">_xlfn.RANK.EQ(R166, R$7:R$375,0)</f>
        <v>142</v>
      </c>
      <c r="T166" s="2">
        <v>45</v>
      </c>
      <c r="U166" s="2">
        <f t="shared" si="2218"/>
        <v>186</v>
      </c>
      <c r="V166" s="2">
        <v>77</v>
      </c>
      <c r="W166" s="2">
        <f t="shared" ref="W166:Y166" si="2219">_xlfn.RANK.EQ(V166, V$7:V$375,0)</f>
        <v>211</v>
      </c>
      <c r="X166" s="4">
        <v>0.58399999999999996</v>
      </c>
      <c r="Y166" s="2">
        <f t="shared" si="2219"/>
        <v>70</v>
      </c>
      <c r="Z166" s="2">
        <v>64</v>
      </c>
      <c r="AA166" s="2">
        <f t="shared" ref="AA166:AC166" si="2220">_xlfn.RANK.EQ(Z166, Z$7:Z$375,0)</f>
        <v>86</v>
      </c>
      <c r="AB166" s="2">
        <v>175</v>
      </c>
      <c r="AC166" s="2">
        <f t="shared" si="2220"/>
        <v>102</v>
      </c>
      <c r="AD166" s="4">
        <v>0.36599999999999999</v>
      </c>
      <c r="AE166" s="2">
        <f t="shared" ref="AE166:AG166" si="2221">_xlfn.RANK.EQ(AD166, AD$7:AD$375,0)</f>
        <v>84</v>
      </c>
      <c r="AF166" s="2">
        <v>12</v>
      </c>
      <c r="AG166" s="2">
        <f t="shared" si="2221"/>
        <v>261</v>
      </c>
      <c r="AH166" s="2">
        <v>18</v>
      </c>
      <c r="AI166" s="2">
        <f t="shared" ref="AI166:AK166" si="2222">_xlfn.RANK.EQ(AH166, AH$7:AH$375,0)</f>
        <v>253</v>
      </c>
      <c r="AJ166" s="4">
        <v>0.66700000000000004</v>
      </c>
      <c r="AK166" s="2">
        <f t="shared" si="2222"/>
        <v>227</v>
      </c>
      <c r="AL166" s="2">
        <v>18</v>
      </c>
      <c r="AM166" s="2">
        <f t="shared" ref="AM166:AO166" si="2223">_xlfn.RANK.EQ(AL166, AL$7:AL$375,0)</f>
        <v>215</v>
      </c>
      <c r="AN166" s="2">
        <v>69</v>
      </c>
      <c r="AO166" s="2">
        <f t="shared" si="2223"/>
        <v>163</v>
      </c>
      <c r="AP166" s="2">
        <v>87</v>
      </c>
      <c r="AQ166" s="2">
        <f t="shared" ref="AQ166:AS166" si="2224">_xlfn.RANK.EQ(AP166, AP$7:AP$375,0)</f>
        <v>178</v>
      </c>
      <c r="AR166" s="2">
        <v>51</v>
      </c>
      <c r="AS166" s="2">
        <f t="shared" si="2224"/>
        <v>214</v>
      </c>
      <c r="AT166" s="2">
        <v>20</v>
      </c>
      <c r="AU166" s="2">
        <f t="shared" ref="AU166:AW166" si="2225">_xlfn.RANK.EQ(AT166, AT$7:AT$375,0)</f>
        <v>253</v>
      </c>
      <c r="AV166" s="2">
        <v>16</v>
      </c>
      <c r="AW166" s="2">
        <f t="shared" si="2225"/>
        <v>233</v>
      </c>
      <c r="AX166" s="2">
        <v>15</v>
      </c>
      <c r="AY166" s="2">
        <f t="shared" ref="AY166:BA166" si="2226">_xlfn.RANK.EQ(AX166, AX$7:AX$375,0)</f>
        <v>78</v>
      </c>
      <c r="AZ166" s="2">
        <v>7</v>
      </c>
      <c r="BA166" s="2">
        <f t="shared" si="2226"/>
        <v>195</v>
      </c>
      <c r="BB166" s="2">
        <v>71</v>
      </c>
      <c r="BC166" s="2">
        <f t="shared" ref="BC166:BE166" si="2227">_xlfn.RANK.EQ(BB166, BB$7:BB$375,0)</f>
        <v>211</v>
      </c>
      <c r="BD166" s="2">
        <v>27</v>
      </c>
      <c r="BE166" s="2">
        <f t="shared" si="2227"/>
        <v>243</v>
      </c>
      <c r="BF166" s="2">
        <v>243</v>
      </c>
      <c r="BG166" s="2">
        <f t="shared" ref="BG166:BI166" si="2228">_xlfn.RANK.EQ(BF166, BF$7:BF$375,0)</f>
        <v>168</v>
      </c>
      <c r="BH166" s="2">
        <v>157</v>
      </c>
      <c r="BI166" s="2">
        <f t="shared" si="2228"/>
        <v>60</v>
      </c>
    </row>
    <row r="167" spans="1:61" x14ac:dyDescent="0.55000000000000004">
      <c r="A167" s="2">
        <v>161</v>
      </c>
      <c r="B167" s="2" t="s">
        <v>217</v>
      </c>
      <c r="C167" s="2" t="s">
        <v>54</v>
      </c>
      <c r="D167" s="2">
        <v>56</v>
      </c>
      <c r="E167" s="2">
        <f t="shared" si="1794"/>
        <v>124</v>
      </c>
      <c r="F167" s="2">
        <v>51</v>
      </c>
      <c r="G167" s="2">
        <f t="shared" ref="G167:I167" si="2229">_xlfn.RANK.EQ(F167, F$7:F$375,0)</f>
        <v>46</v>
      </c>
      <c r="H167" s="3">
        <v>37.417361111111113</v>
      </c>
      <c r="I167" s="2">
        <f t="shared" si="2229"/>
        <v>162</v>
      </c>
      <c r="J167" s="5">
        <v>0.66805555555555551</v>
      </c>
      <c r="K167" s="2">
        <f t="shared" ref="K167:M167" si="2230">_xlfn.RANK.EQ(J167, J$7:J$375,0)</f>
        <v>203</v>
      </c>
      <c r="L167" s="2">
        <v>292</v>
      </c>
      <c r="M167" s="2">
        <f t="shared" si="2230"/>
        <v>161</v>
      </c>
      <c r="N167" s="2">
        <v>101</v>
      </c>
      <c r="O167" s="2">
        <f t="shared" ref="O167:Q167" si="2231">_xlfn.RANK.EQ(N167, N$7:N$375,0)</f>
        <v>166</v>
      </c>
      <c r="P167" s="2">
        <v>239</v>
      </c>
      <c r="Q167" s="2">
        <f t="shared" si="2231"/>
        <v>172</v>
      </c>
      <c r="R167" s="4">
        <v>0.42299999999999999</v>
      </c>
      <c r="S167" s="2">
        <f t="shared" ref="S167:U167" si="2232">_xlfn.RANK.EQ(R167, R$7:R$375,0)</f>
        <v>159</v>
      </c>
      <c r="T167" s="2">
        <v>33</v>
      </c>
      <c r="U167" s="2">
        <f t="shared" si="2232"/>
        <v>216</v>
      </c>
      <c r="V167" s="2">
        <v>53</v>
      </c>
      <c r="W167" s="2">
        <f t="shared" ref="W167:Y167" si="2233">_xlfn.RANK.EQ(V167, V$7:V$375,0)</f>
        <v>244</v>
      </c>
      <c r="X167" s="4">
        <v>0.623</v>
      </c>
      <c r="Y167" s="2">
        <f t="shared" si="2233"/>
        <v>41</v>
      </c>
      <c r="Z167" s="2">
        <v>68</v>
      </c>
      <c r="AA167" s="2">
        <f t="shared" ref="AA167:AC167" si="2234">_xlfn.RANK.EQ(Z167, Z$7:Z$375,0)</f>
        <v>81</v>
      </c>
      <c r="AB167" s="2">
        <v>186</v>
      </c>
      <c r="AC167" s="2">
        <f t="shared" si="2234"/>
        <v>89</v>
      </c>
      <c r="AD167" s="4">
        <v>0.36599999999999999</v>
      </c>
      <c r="AE167" s="2">
        <f t="shared" ref="AE167:AG167" si="2235">_xlfn.RANK.EQ(AD167, AD$7:AD$375,0)</f>
        <v>84</v>
      </c>
      <c r="AF167" s="2">
        <v>22</v>
      </c>
      <c r="AG167" s="2">
        <f t="shared" si="2235"/>
        <v>201</v>
      </c>
      <c r="AH167" s="2">
        <v>27</v>
      </c>
      <c r="AI167" s="2">
        <f t="shared" ref="AI167:AK167" si="2236">_xlfn.RANK.EQ(AH167, AH$7:AH$375,0)</f>
        <v>219</v>
      </c>
      <c r="AJ167" s="4">
        <v>0.81499999999999995</v>
      </c>
      <c r="AK167" s="2">
        <f t="shared" si="2236"/>
        <v>66</v>
      </c>
      <c r="AL167" s="2">
        <v>34</v>
      </c>
      <c r="AM167" s="2">
        <f t="shared" ref="AM167:AO167" si="2237">_xlfn.RANK.EQ(AL167, AL$7:AL$375,0)</f>
        <v>136</v>
      </c>
      <c r="AN167" s="2">
        <v>64</v>
      </c>
      <c r="AO167" s="2">
        <f t="shared" si="2237"/>
        <v>171</v>
      </c>
      <c r="AP167" s="2">
        <v>98</v>
      </c>
      <c r="AQ167" s="2">
        <f t="shared" ref="AQ167:AS167" si="2238">_xlfn.RANK.EQ(AP167, AP$7:AP$375,0)</f>
        <v>165</v>
      </c>
      <c r="AR167" s="2">
        <v>49</v>
      </c>
      <c r="AS167" s="2">
        <f t="shared" si="2238"/>
        <v>220</v>
      </c>
      <c r="AT167" s="2">
        <v>17</v>
      </c>
      <c r="AU167" s="2">
        <f t="shared" ref="AU167:AW167" si="2239">_xlfn.RANK.EQ(AT167, AT$7:AT$375,0)</f>
        <v>273</v>
      </c>
      <c r="AV167" s="2">
        <v>22</v>
      </c>
      <c r="AW167" s="2">
        <f t="shared" si="2239"/>
        <v>197</v>
      </c>
      <c r="AX167" s="2">
        <v>9</v>
      </c>
      <c r="AY167" s="2">
        <f t="shared" ref="AY167:BA167" si="2240">_xlfn.RANK.EQ(AX167, AX$7:AX$375,0)</f>
        <v>110</v>
      </c>
      <c r="AZ167" s="2">
        <v>11</v>
      </c>
      <c r="BA167" s="2">
        <f t="shared" si="2240"/>
        <v>132</v>
      </c>
      <c r="BB167" s="2">
        <v>81</v>
      </c>
      <c r="BC167" s="2">
        <f t="shared" ref="BC167:BE167" si="2241">_xlfn.RANK.EQ(BB167, BB$7:BB$375,0)</f>
        <v>190</v>
      </c>
      <c r="BD167" s="2">
        <v>38</v>
      </c>
      <c r="BE167" s="2">
        <f t="shared" si="2241"/>
        <v>210</v>
      </c>
      <c r="BF167" s="2">
        <v>255</v>
      </c>
      <c r="BG167" s="2">
        <f t="shared" ref="BG167:BI167" si="2242">_xlfn.RANK.EQ(BF167, BF$7:BF$375,0)</f>
        <v>160</v>
      </c>
      <c r="BH167" s="2">
        <v>163</v>
      </c>
      <c r="BI167" s="2">
        <f t="shared" si="2242"/>
        <v>59</v>
      </c>
    </row>
    <row r="168" spans="1:61" x14ac:dyDescent="0.55000000000000004">
      <c r="A168" s="2">
        <v>161</v>
      </c>
      <c r="B168" s="2" t="s">
        <v>218</v>
      </c>
      <c r="C168" s="2" t="s">
        <v>86</v>
      </c>
      <c r="D168" s="2">
        <v>60</v>
      </c>
      <c r="E168" s="2">
        <f t="shared" si="1794"/>
        <v>1</v>
      </c>
      <c r="F168" s="2">
        <v>12</v>
      </c>
      <c r="G168" s="2">
        <f t="shared" ref="G168:I168" si="2243">_xlfn.RANK.EQ(F168, F$7:F$375,0)</f>
        <v>192</v>
      </c>
      <c r="H168" s="3">
        <v>41.827777777777776</v>
      </c>
      <c r="I168" s="2">
        <f t="shared" si="2243"/>
        <v>142</v>
      </c>
      <c r="J168" s="5">
        <v>0.69652777777777775</v>
      </c>
      <c r="K168" s="2">
        <f t="shared" ref="K168:M168" si="2244">_xlfn.RANK.EQ(J168, J$7:J$375,0)</f>
        <v>194</v>
      </c>
      <c r="L168" s="2">
        <v>292</v>
      </c>
      <c r="M168" s="2">
        <f t="shared" si="2244"/>
        <v>161</v>
      </c>
      <c r="N168" s="2">
        <v>97</v>
      </c>
      <c r="O168" s="2">
        <f t="shared" ref="O168:Q168" si="2245">_xlfn.RANK.EQ(N168, N$7:N$375,0)</f>
        <v>174</v>
      </c>
      <c r="P168" s="2">
        <v>285</v>
      </c>
      <c r="Q168" s="2">
        <f t="shared" si="2245"/>
        <v>144</v>
      </c>
      <c r="R168" s="4">
        <v>0.34</v>
      </c>
      <c r="S168" s="2">
        <f t="shared" ref="S168:U168" si="2246">_xlfn.RANK.EQ(R168, R$7:R$375,0)</f>
        <v>293</v>
      </c>
      <c r="T168" s="2">
        <v>14</v>
      </c>
      <c r="U168" s="2">
        <f t="shared" si="2246"/>
        <v>278</v>
      </c>
      <c r="V168" s="2">
        <v>44</v>
      </c>
      <c r="W168" s="2">
        <f t="shared" ref="W168:Y168" si="2247">_xlfn.RANK.EQ(V168, V$7:V$375,0)</f>
        <v>255</v>
      </c>
      <c r="X168" s="4">
        <v>0.318</v>
      </c>
      <c r="Y168" s="2">
        <f t="shared" si="2247"/>
        <v>340</v>
      </c>
      <c r="Z168" s="2">
        <v>83</v>
      </c>
      <c r="AA168" s="2">
        <f t="shared" ref="AA168:AC168" si="2248">_xlfn.RANK.EQ(Z168, Z$7:Z$375,0)</f>
        <v>55</v>
      </c>
      <c r="AB168" s="2">
        <v>241</v>
      </c>
      <c r="AC168" s="2">
        <f t="shared" si="2248"/>
        <v>53</v>
      </c>
      <c r="AD168" s="4">
        <v>0.34399999999999997</v>
      </c>
      <c r="AE168" s="2">
        <f t="shared" ref="AE168:AG168" si="2249">_xlfn.RANK.EQ(AD168, AD$7:AD$375,0)</f>
        <v>126</v>
      </c>
      <c r="AF168" s="2">
        <v>15</v>
      </c>
      <c r="AG168" s="2">
        <f t="shared" si="2249"/>
        <v>237</v>
      </c>
      <c r="AH168" s="2">
        <v>22</v>
      </c>
      <c r="AI168" s="2">
        <f t="shared" ref="AI168:AK168" si="2250">_xlfn.RANK.EQ(AH168, AH$7:AH$375,0)</f>
        <v>238</v>
      </c>
      <c r="AJ168" s="4">
        <v>0.68200000000000005</v>
      </c>
      <c r="AK168" s="2">
        <f t="shared" si="2250"/>
        <v>216</v>
      </c>
      <c r="AL168" s="2">
        <v>13</v>
      </c>
      <c r="AM168" s="2">
        <f t="shared" ref="AM168:AO168" si="2251">_xlfn.RANK.EQ(AL168, AL$7:AL$375,0)</f>
        <v>256</v>
      </c>
      <c r="AN168" s="2">
        <v>43</v>
      </c>
      <c r="AO168" s="2">
        <f t="shared" si="2251"/>
        <v>223</v>
      </c>
      <c r="AP168" s="2">
        <v>56</v>
      </c>
      <c r="AQ168" s="2">
        <f t="shared" ref="AQ168:AS168" si="2252">_xlfn.RANK.EQ(AP168, AP$7:AP$375,0)</f>
        <v>230</v>
      </c>
      <c r="AR168" s="2">
        <v>54</v>
      </c>
      <c r="AS168" s="2">
        <f t="shared" si="2252"/>
        <v>208</v>
      </c>
      <c r="AT168" s="2">
        <v>26</v>
      </c>
      <c r="AU168" s="2">
        <f t="shared" ref="AU168:AW168" si="2253">_xlfn.RANK.EQ(AT168, AT$7:AT$375,0)</f>
        <v>225</v>
      </c>
      <c r="AV168" s="2">
        <v>31</v>
      </c>
      <c r="AW168" s="2">
        <f t="shared" si="2253"/>
        <v>139</v>
      </c>
      <c r="AX168" s="2">
        <v>4</v>
      </c>
      <c r="AY168" s="2">
        <f t="shared" ref="AY168:BA168" si="2254">_xlfn.RANK.EQ(AX168, AX$7:AX$375,0)</f>
        <v>186</v>
      </c>
      <c r="AZ168" s="2">
        <v>14</v>
      </c>
      <c r="BA168" s="2">
        <f t="shared" si="2254"/>
        <v>104</v>
      </c>
      <c r="BB168" s="2">
        <v>148</v>
      </c>
      <c r="BC168" s="2">
        <f t="shared" ref="BC168:BE168" si="2255">_xlfn.RANK.EQ(BB168, BB$7:BB$375,0)</f>
        <v>20</v>
      </c>
      <c r="BD168" s="2">
        <v>31</v>
      </c>
      <c r="BE168" s="2">
        <f t="shared" si="2255"/>
        <v>229</v>
      </c>
      <c r="BF168" s="2">
        <v>85</v>
      </c>
      <c r="BG168" s="2">
        <f t="shared" ref="BG168:BI168" si="2256">_xlfn.RANK.EQ(BF168, BF$7:BF$375,0)</f>
        <v>248</v>
      </c>
      <c r="BH168" s="2">
        <v>-233</v>
      </c>
      <c r="BI168" s="2">
        <f t="shared" si="2256"/>
        <v>347</v>
      </c>
    </row>
    <row r="169" spans="1:61" x14ac:dyDescent="0.55000000000000004">
      <c r="A169" s="2">
        <v>163</v>
      </c>
      <c r="B169" s="2" t="s">
        <v>219</v>
      </c>
      <c r="C169" s="2" t="s">
        <v>32</v>
      </c>
      <c r="D169" s="2">
        <v>55</v>
      </c>
      <c r="E169" s="2">
        <f t="shared" si="1794"/>
        <v>139</v>
      </c>
      <c r="F169" s="2">
        <v>55</v>
      </c>
      <c r="G169" s="2">
        <f t="shared" ref="G169:I169" si="2257">_xlfn.RANK.EQ(F169, F$7:F$375,0)</f>
        <v>32</v>
      </c>
      <c r="H169" s="3">
        <v>48.166666666666664</v>
      </c>
      <c r="I169" s="2">
        <f t="shared" si="2257"/>
        <v>116</v>
      </c>
      <c r="J169" s="5">
        <v>0.87569444444444444</v>
      </c>
      <c r="K169" s="2">
        <f t="shared" ref="K169:M169" si="2258">_xlfn.RANK.EQ(J169, J$7:J$375,0)</f>
        <v>142</v>
      </c>
      <c r="L169" s="2">
        <v>289</v>
      </c>
      <c r="M169" s="2">
        <f t="shared" si="2258"/>
        <v>163</v>
      </c>
      <c r="N169" s="2">
        <v>99</v>
      </c>
      <c r="O169" s="2">
        <f t="shared" ref="O169:Q169" si="2259">_xlfn.RANK.EQ(N169, N$7:N$375,0)</f>
        <v>171</v>
      </c>
      <c r="P169" s="2">
        <v>213</v>
      </c>
      <c r="Q169" s="2">
        <f t="shared" si="2259"/>
        <v>191</v>
      </c>
      <c r="R169" s="4">
        <v>0.46500000000000002</v>
      </c>
      <c r="S169" s="2">
        <f t="shared" ref="S169:U169" si="2260">_xlfn.RANK.EQ(R169, R$7:R$375,0)</f>
        <v>100</v>
      </c>
      <c r="T169" s="2">
        <v>48</v>
      </c>
      <c r="U169" s="2">
        <f t="shared" si="2260"/>
        <v>179</v>
      </c>
      <c r="V169" s="2">
        <v>86</v>
      </c>
      <c r="W169" s="2">
        <f t="shared" ref="W169:Y169" si="2261">_xlfn.RANK.EQ(V169, V$7:V$375,0)</f>
        <v>196</v>
      </c>
      <c r="X169" s="4">
        <v>0.55800000000000005</v>
      </c>
      <c r="Y169" s="2">
        <f t="shared" si="2261"/>
        <v>102</v>
      </c>
      <c r="Z169" s="2">
        <v>51</v>
      </c>
      <c r="AA169" s="2">
        <f t="shared" ref="AA169:AC169" si="2262">_xlfn.RANK.EQ(Z169, Z$7:Z$375,0)</f>
        <v>120</v>
      </c>
      <c r="AB169" s="2">
        <v>127</v>
      </c>
      <c r="AC169" s="2">
        <f t="shared" si="2262"/>
        <v>144</v>
      </c>
      <c r="AD169" s="4">
        <v>0.40200000000000002</v>
      </c>
      <c r="AE169" s="2">
        <f t="shared" ref="AE169:AG169" si="2263">_xlfn.RANK.EQ(AD169, AD$7:AD$375,0)</f>
        <v>36</v>
      </c>
      <c r="AF169" s="2">
        <v>40</v>
      </c>
      <c r="AG169" s="2">
        <f t="shared" si="2263"/>
        <v>143</v>
      </c>
      <c r="AH169" s="2">
        <v>48</v>
      </c>
      <c r="AI169" s="2">
        <f t="shared" ref="AI169:AK169" si="2264">_xlfn.RANK.EQ(AH169, AH$7:AH$375,0)</f>
        <v>158</v>
      </c>
      <c r="AJ169" s="4">
        <v>0.83299999999999996</v>
      </c>
      <c r="AK169" s="2">
        <f t="shared" si="2264"/>
        <v>50</v>
      </c>
      <c r="AL169" s="2">
        <v>35</v>
      </c>
      <c r="AM169" s="2">
        <f t="shared" ref="AM169:AO169" si="2265">_xlfn.RANK.EQ(AL169, AL$7:AL$375,0)</f>
        <v>129</v>
      </c>
      <c r="AN169" s="2">
        <v>81</v>
      </c>
      <c r="AO169" s="2">
        <f t="shared" si="2265"/>
        <v>142</v>
      </c>
      <c r="AP169" s="2">
        <v>116</v>
      </c>
      <c r="AQ169" s="2">
        <f t="shared" ref="AQ169:AS169" si="2266">_xlfn.RANK.EQ(AP169, AP$7:AP$375,0)</f>
        <v>134</v>
      </c>
      <c r="AR169" s="2">
        <v>78</v>
      </c>
      <c r="AS169" s="2">
        <f t="shared" si="2266"/>
        <v>166</v>
      </c>
      <c r="AT169" s="2">
        <v>32</v>
      </c>
      <c r="AU169" s="2">
        <f t="shared" ref="AU169:AW169" si="2267">_xlfn.RANK.EQ(AT169, AT$7:AT$375,0)</f>
        <v>204</v>
      </c>
      <c r="AV169" s="2">
        <v>55</v>
      </c>
      <c r="AW169" s="2">
        <f t="shared" si="2267"/>
        <v>41</v>
      </c>
      <c r="AX169" s="2">
        <v>4</v>
      </c>
      <c r="AY169" s="2">
        <f t="shared" ref="AY169:BA169" si="2268">_xlfn.RANK.EQ(AX169, AX$7:AX$375,0)</f>
        <v>186</v>
      </c>
      <c r="AZ169" s="2">
        <v>9</v>
      </c>
      <c r="BA169" s="2">
        <f t="shared" si="2268"/>
        <v>160</v>
      </c>
      <c r="BB169" s="2">
        <v>123</v>
      </c>
      <c r="BC169" s="2">
        <f t="shared" ref="BC169:BE169" si="2269">_xlfn.RANK.EQ(BB169, BB$7:BB$375,0)</f>
        <v>71</v>
      </c>
      <c r="BD169" s="2">
        <v>53</v>
      </c>
      <c r="BE169" s="2">
        <f t="shared" si="2269"/>
        <v>170</v>
      </c>
      <c r="BF169" s="2">
        <v>309</v>
      </c>
      <c r="BG169" s="2">
        <f t="shared" ref="BG169:BI169" si="2270">_xlfn.RANK.EQ(BF169, BF$7:BF$375,0)</f>
        <v>138</v>
      </c>
      <c r="BH169" s="2">
        <v>113</v>
      </c>
      <c r="BI169" s="2">
        <f t="shared" si="2270"/>
        <v>82</v>
      </c>
    </row>
    <row r="170" spans="1:61" x14ac:dyDescent="0.55000000000000004">
      <c r="A170" s="2">
        <v>164</v>
      </c>
      <c r="B170" s="2" t="s">
        <v>220</v>
      </c>
      <c r="C170" s="2" t="s">
        <v>54</v>
      </c>
      <c r="D170" s="2">
        <v>57</v>
      </c>
      <c r="E170" s="2">
        <f t="shared" si="1794"/>
        <v>100</v>
      </c>
      <c r="F170" s="2">
        <v>2</v>
      </c>
      <c r="G170" s="2">
        <f t="shared" ref="G170:I170" si="2271">_xlfn.RANK.EQ(F170, F$7:F$375,0)</f>
        <v>256</v>
      </c>
      <c r="H170" s="3">
        <v>28.319444444444443</v>
      </c>
      <c r="I170" s="2">
        <f t="shared" si="2271"/>
        <v>212</v>
      </c>
      <c r="J170" s="5">
        <v>0.49652777777777779</v>
      </c>
      <c r="K170" s="2">
        <f t="shared" ref="K170:M170" si="2272">_xlfn.RANK.EQ(J170, J$7:J$375,0)</f>
        <v>249</v>
      </c>
      <c r="L170" s="2">
        <v>286</v>
      </c>
      <c r="M170" s="2">
        <f t="shared" si="2272"/>
        <v>164</v>
      </c>
      <c r="N170" s="2">
        <v>102</v>
      </c>
      <c r="O170" s="2">
        <f t="shared" ref="O170:Q170" si="2273">_xlfn.RANK.EQ(N170, N$7:N$375,0)</f>
        <v>164</v>
      </c>
      <c r="P170" s="2">
        <v>266</v>
      </c>
      <c r="Q170" s="2">
        <f t="shared" si="2273"/>
        <v>154</v>
      </c>
      <c r="R170" s="4">
        <v>0.38300000000000001</v>
      </c>
      <c r="S170" s="2">
        <f t="shared" ref="S170:U170" si="2274">_xlfn.RANK.EQ(R170, R$7:R$375,0)</f>
        <v>232</v>
      </c>
      <c r="T170" s="2">
        <v>49</v>
      </c>
      <c r="U170" s="2">
        <f t="shared" si="2274"/>
        <v>176</v>
      </c>
      <c r="V170" s="2">
        <v>97</v>
      </c>
      <c r="W170" s="2">
        <f t="shared" ref="W170:Y170" si="2275">_xlfn.RANK.EQ(V170, V$7:V$375,0)</f>
        <v>179</v>
      </c>
      <c r="X170" s="4">
        <v>0.505</v>
      </c>
      <c r="Y170" s="2">
        <f t="shared" si="2275"/>
        <v>172</v>
      </c>
      <c r="Z170" s="2">
        <v>53</v>
      </c>
      <c r="AA170" s="2">
        <f t="shared" ref="AA170:AC170" si="2276">_xlfn.RANK.EQ(Z170, Z$7:Z$375,0)</f>
        <v>113</v>
      </c>
      <c r="AB170" s="2">
        <v>169</v>
      </c>
      <c r="AC170" s="2">
        <f t="shared" si="2276"/>
        <v>109</v>
      </c>
      <c r="AD170" s="4">
        <v>0.314</v>
      </c>
      <c r="AE170" s="2">
        <f t="shared" ref="AE170:AG170" si="2277">_xlfn.RANK.EQ(AD170, AD$7:AD$375,0)</f>
        <v>192</v>
      </c>
      <c r="AF170" s="2">
        <v>29</v>
      </c>
      <c r="AG170" s="2">
        <f t="shared" si="2277"/>
        <v>176</v>
      </c>
      <c r="AH170" s="2">
        <v>38</v>
      </c>
      <c r="AI170" s="2">
        <f t="shared" ref="AI170:AK170" si="2278">_xlfn.RANK.EQ(AH170, AH$7:AH$375,0)</f>
        <v>181</v>
      </c>
      <c r="AJ170" s="4">
        <v>0.76300000000000001</v>
      </c>
      <c r="AK170" s="2">
        <f t="shared" si="2278"/>
        <v>131</v>
      </c>
      <c r="AL170" s="2">
        <v>15</v>
      </c>
      <c r="AM170" s="2">
        <f t="shared" ref="AM170:AO170" si="2279">_xlfn.RANK.EQ(AL170, AL$7:AL$375,0)</f>
        <v>241</v>
      </c>
      <c r="AN170" s="2">
        <v>46</v>
      </c>
      <c r="AO170" s="2">
        <f t="shared" si="2279"/>
        <v>206</v>
      </c>
      <c r="AP170" s="2">
        <v>61</v>
      </c>
      <c r="AQ170" s="2">
        <f t="shared" ref="AQ170:AS170" si="2280">_xlfn.RANK.EQ(AP170, AP$7:AP$375,0)</f>
        <v>225</v>
      </c>
      <c r="AR170" s="2">
        <v>29</v>
      </c>
      <c r="AS170" s="2">
        <f t="shared" si="2280"/>
        <v>252</v>
      </c>
      <c r="AT170" s="2">
        <v>28</v>
      </c>
      <c r="AU170" s="2">
        <f t="shared" ref="AU170:AW170" si="2281">_xlfn.RANK.EQ(AT170, AT$7:AT$375,0)</f>
        <v>215</v>
      </c>
      <c r="AV170" s="2">
        <v>20</v>
      </c>
      <c r="AW170" s="2">
        <f t="shared" si="2281"/>
        <v>207</v>
      </c>
      <c r="AX170" s="2">
        <v>4</v>
      </c>
      <c r="AY170" s="2">
        <f t="shared" ref="AY170:BA170" si="2282">_xlfn.RANK.EQ(AX170, AX$7:AX$375,0)</f>
        <v>186</v>
      </c>
      <c r="AZ170" s="2">
        <v>6</v>
      </c>
      <c r="BA170" s="2">
        <f t="shared" si="2282"/>
        <v>214</v>
      </c>
      <c r="BB170" s="2">
        <v>32</v>
      </c>
      <c r="BC170" s="2">
        <f t="shared" ref="BC170:BE170" si="2283">_xlfn.RANK.EQ(BB170, BB$7:BB$375,0)</f>
        <v>299</v>
      </c>
      <c r="BD170" s="2">
        <v>35</v>
      </c>
      <c r="BE170" s="2">
        <f t="shared" si="2283"/>
        <v>221</v>
      </c>
      <c r="BF170" s="2">
        <v>196</v>
      </c>
      <c r="BG170" s="2">
        <f t="shared" ref="BG170:BI170" si="2284">_xlfn.RANK.EQ(BF170, BF$7:BF$375,0)</f>
        <v>191</v>
      </c>
      <c r="BH170" s="2">
        <v>0</v>
      </c>
      <c r="BI170" s="2">
        <f t="shared" si="2284"/>
        <v>148</v>
      </c>
    </row>
    <row r="171" spans="1:61" x14ac:dyDescent="0.55000000000000004">
      <c r="A171" s="2">
        <v>165</v>
      </c>
      <c r="B171" s="2" t="s">
        <v>221</v>
      </c>
      <c r="C171" s="2" t="s">
        <v>50</v>
      </c>
      <c r="D171" s="2">
        <v>60</v>
      </c>
      <c r="E171" s="2">
        <f t="shared" si="1794"/>
        <v>1</v>
      </c>
      <c r="F171" s="2">
        <v>8</v>
      </c>
      <c r="G171" s="2">
        <f t="shared" ref="G171:I171" si="2285">_xlfn.RANK.EQ(F171, F$7:F$375,0)</f>
        <v>214</v>
      </c>
      <c r="H171" s="3">
        <v>42.931249999999999</v>
      </c>
      <c r="I171" s="2">
        <f t="shared" si="2285"/>
        <v>137</v>
      </c>
      <c r="J171" s="5">
        <v>0.71527777777777779</v>
      </c>
      <c r="K171" s="2">
        <f t="shared" ref="K171:M171" si="2286">_xlfn.RANK.EQ(J171, J$7:J$375,0)</f>
        <v>188</v>
      </c>
      <c r="L171" s="2">
        <v>284</v>
      </c>
      <c r="M171" s="2">
        <f t="shared" si="2286"/>
        <v>165</v>
      </c>
      <c r="N171" s="2">
        <v>104</v>
      </c>
      <c r="O171" s="2">
        <f t="shared" ref="O171:Q171" si="2287">_xlfn.RANK.EQ(N171, N$7:N$375,0)</f>
        <v>160</v>
      </c>
      <c r="P171" s="2">
        <v>287</v>
      </c>
      <c r="Q171" s="2">
        <f t="shared" si="2287"/>
        <v>142</v>
      </c>
      <c r="R171" s="4">
        <v>0.36199999999999999</v>
      </c>
      <c r="S171" s="2">
        <f t="shared" ref="S171:U171" si="2288">_xlfn.RANK.EQ(R171, R$7:R$375,0)</f>
        <v>260</v>
      </c>
      <c r="T171" s="2">
        <v>50</v>
      </c>
      <c r="U171" s="2">
        <f t="shared" si="2288"/>
        <v>172</v>
      </c>
      <c r="V171" s="2">
        <v>95</v>
      </c>
      <c r="W171" s="2">
        <f t="shared" ref="W171:Y171" si="2289">_xlfn.RANK.EQ(V171, V$7:V$375,0)</f>
        <v>181</v>
      </c>
      <c r="X171" s="4">
        <v>0.52600000000000002</v>
      </c>
      <c r="Y171" s="2">
        <f t="shared" si="2289"/>
        <v>145</v>
      </c>
      <c r="Z171" s="2">
        <v>54</v>
      </c>
      <c r="AA171" s="2">
        <f t="shared" ref="AA171:AC171" si="2290">_xlfn.RANK.EQ(Z171, Z$7:Z$375,0)</f>
        <v>111</v>
      </c>
      <c r="AB171" s="2">
        <v>192</v>
      </c>
      <c r="AC171" s="2">
        <f t="shared" si="2290"/>
        <v>82</v>
      </c>
      <c r="AD171" s="4">
        <v>0.28100000000000003</v>
      </c>
      <c r="AE171" s="2">
        <f t="shared" ref="AE171:AG171" si="2291">_xlfn.RANK.EQ(AD171, AD$7:AD$375,0)</f>
        <v>243</v>
      </c>
      <c r="AF171" s="2">
        <v>22</v>
      </c>
      <c r="AG171" s="2">
        <f t="shared" si="2291"/>
        <v>201</v>
      </c>
      <c r="AH171" s="2">
        <v>31</v>
      </c>
      <c r="AI171" s="2">
        <f t="shared" ref="AI171:AK171" si="2292">_xlfn.RANK.EQ(AH171, AH$7:AH$375,0)</f>
        <v>206</v>
      </c>
      <c r="AJ171" s="4">
        <v>0.71</v>
      </c>
      <c r="AK171" s="2">
        <f t="shared" si="2292"/>
        <v>197</v>
      </c>
      <c r="AL171" s="2">
        <v>26</v>
      </c>
      <c r="AM171" s="2">
        <f t="shared" ref="AM171:AO171" si="2293">_xlfn.RANK.EQ(AL171, AL$7:AL$375,0)</f>
        <v>168</v>
      </c>
      <c r="AN171" s="2">
        <v>106</v>
      </c>
      <c r="AO171" s="2">
        <f t="shared" si="2293"/>
        <v>103</v>
      </c>
      <c r="AP171" s="2">
        <v>132</v>
      </c>
      <c r="AQ171" s="2">
        <f t="shared" ref="AQ171:AS171" si="2294">_xlfn.RANK.EQ(AP171, AP$7:AP$375,0)</f>
        <v>118</v>
      </c>
      <c r="AR171" s="2">
        <v>76</v>
      </c>
      <c r="AS171" s="2">
        <f t="shared" si="2294"/>
        <v>168</v>
      </c>
      <c r="AT171" s="2">
        <v>41</v>
      </c>
      <c r="AU171" s="2">
        <f t="shared" ref="AU171:AW171" si="2295">_xlfn.RANK.EQ(AT171, AT$7:AT$375,0)</f>
        <v>171</v>
      </c>
      <c r="AV171" s="2">
        <v>43</v>
      </c>
      <c r="AW171" s="2">
        <f t="shared" si="2295"/>
        <v>90</v>
      </c>
      <c r="AX171" s="2">
        <v>8</v>
      </c>
      <c r="AY171" s="2">
        <f t="shared" ref="AY171:BA171" si="2296">_xlfn.RANK.EQ(AX171, AX$7:AX$375,0)</f>
        <v>125</v>
      </c>
      <c r="AZ171" s="2">
        <v>4</v>
      </c>
      <c r="BA171" s="2">
        <f t="shared" si="2296"/>
        <v>246</v>
      </c>
      <c r="BB171" s="2">
        <v>137</v>
      </c>
      <c r="BC171" s="2">
        <f t="shared" ref="BC171:BE171" si="2297">_xlfn.RANK.EQ(BB171, BB$7:BB$375,0)</f>
        <v>39</v>
      </c>
      <c r="BD171" s="2">
        <v>49</v>
      </c>
      <c r="BE171" s="2">
        <f t="shared" si="2297"/>
        <v>175</v>
      </c>
      <c r="BF171" s="2">
        <v>218</v>
      </c>
      <c r="BG171" s="2">
        <f t="shared" ref="BG171:BI171" si="2298">_xlfn.RANK.EQ(BF171, BF$7:BF$375,0)</f>
        <v>178</v>
      </c>
      <c r="BH171" s="2">
        <v>-2</v>
      </c>
      <c r="BI171" s="2">
        <f t="shared" si="2298"/>
        <v>151</v>
      </c>
    </row>
    <row r="172" spans="1:61" x14ac:dyDescent="0.55000000000000004">
      <c r="A172" s="2">
        <v>166</v>
      </c>
      <c r="B172" s="2" t="s">
        <v>222</v>
      </c>
      <c r="C172" s="2" t="s">
        <v>91</v>
      </c>
      <c r="D172" s="2">
        <v>45</v>
      </c>
      <c r="E172" s="2">
        <f t="shared" si="1794"/>
        <v>217</v>
      </c>
      <c r="F172" s="2">
        <v>19</v>
      </c>
      <c r="G172" s="2">
        <f t="shared" ref="G172:I172" si="2299">_xlfn.RANK.EQ(F172, F$7:F$375,0)</f>
        <v>155</v>
      </c>
      <c r="H172" s="3">
        <v>30.436805555555555</v>
      </c>
      <c r="I172" s="2">
        <f t="shared" si="2299"/>
        <v>201</v>
      </c>
      <c r="J172" s="5">
        <v>0.67569444444444449</v>
      </c>
      <c r="K172" s="2">
        <f t="shared" ref="K172:M172" si="2300">_xlfn.RANK.EQ(J172, J$7:J$375,0)</f>
        <v>199</v>
      </c>
      <c r="L172" s="2">
        <v>283</v>
      </c>
      <c r="M172" s="2">
        <f t="shared" si="2300"/>
        <v>166</v>
      </c>
      <c r="N172" s="2">
        <v>109</v>
      </c>
      <c r="O172" s="2">
        <f t="shared" ref="O172:Q172" si="2301">_xlfn.RANK.EQ(N172, N$7:N$375,0)</f>
        <v>153</v>
      </c>
      <c r="P172" s="2">
        <v>241</v>
      </c>
      <c r="Q172" s="2">
        <f t="shared" si="2301"/>
        <v>171</v>
      </c>
      <c r="R172" s="4">
        <v>0.45200000000000001</v>
      </c>
      <c r="S172" s="2">
        <f t="shared" ref="S172:U172" si="2302">_xlfn.RANK.EQ(R172, R$7:R$375,0)</f>
        <v>120</v>
      </c>
      <c r="T172" s="2">
        <v>73</v>
      </c>
      <c r="U172" s="2">
        <f t="shared" si="2302"/>
        <v>134</v>
      </c>
      <c r="V172" s="2">
        <v>132</v>
      </c>
      <c r="W172" s="2">
        <f t="shared" ref="W172:Y172" si="2303">_xlfn.RANK.EQ(V172, V$7:V$375,0)</f>
        <v>150</v>
      </c>
      <c r="X172" s="4">
        <v>0.55300000000000005</v>
      </c>
      <c r="Y172" s="2">
        <f t="shared" si="2303"/>
        <v>108</v>
      </c>
      <c r="Z172" s="2">
        <v>36</v>
      </c>
      <c r="AA172" s="2">
        <f t="shared" ref="AA172:AC172" si="2304">_xlfn.RANK.EQ(Z172, Z$7:Z$375,0)</f>
        <v>155</v>
      </c>
      <c r="AB172" s="2">
        <v>109</v>
      </c>
      <c r="AC172" s="2">
        <f t="shared" si="2304"/>
        <v>159</v>
      </c>
      <c r="AD172" s="4">
        <v>0.33</v>
      </c>
      <c r="AE172" s="2">
        <f t="shared" ref="AE172:AG172" si="2305">_xlfn.RANK.EQ(AD172, AD$7:AD$375,0)</f>
        <v>162</v>
      </c>
      <c r="AF172" s="2">
        <v>29</v>
      </c>
      <c r="AG172" s="2">
        <f t="shared" si="2305"/>
        <v>176</v>
      </c>
      <c r="AH172" s="2">
        <v>38</v>
      </c>
      <c r="AI172" s="2">
        <f t="shared" ref="AI172:AK172" si="2306">_xlfn.RANK.EQ(AH172, AH$7:AH$375,0)</f>
        <v>181</v>
      </c>
      <c r="AJ172" s="4">
        <v>0.76300000000000001</v>
      </c>
      <c r="AK172" s="2">
        <f t="shared" si="2306"/>
        <v>131</v>
      </c>
      <c r="AL172" s="2">
        <v>38</v>
      </c>
      <c r="AM172" s="2">
        <f t="shared" ref="AM172:AO172" si="2307">_xlfn.RANK.EQ(AL172, AL$7:AL$375,0)</f>
        <v>119</v>
      </c>
      <c r="AN172" s="2">
        <v>44</v>
      </c>
      <c r="AO172" s="2">
        <f t="shared" si="2307"/>
        <v>214</v>
      </c>
      <c r="AP172" s="2">
        <v>82</v>
      </c>
      <c r="AQ172" s="2">
        <f t="shared" ref="AQ172:AS172" si="2308">_xlfn.RANK.EQ(AP172, AP$7:AP$375,0)</f>
        <v>183</v>
      </c>
      <c r="AR172" s="2">
        <v>53</v>
      </c>
      <c r="AS172" s="2">
        <f t="shared" si="2308"/>
        <v>211</v>
      </c>
      <c r="AT172" s="2">
        <v>48</v>
      </c>
      <c r="AU172" s="2">
        <f t="shared" ref="AU172:AW172" si="2309">_xlfn.RANK.EQ(AT172, AT$7:AT$375,0)</f>
        <v>148</v>
      </c>
      <c r="AV172" s="2">
        <v>30</v>
      </c>
      <c r="AW172" s="2">
        <f t="shared" si="2309"/>
        <v>145</v>
      </c>
      <c r="AX172" s="2">
        <v>5</v>
      </c>
      <c r="AY172" s="2">
        <f t="shared" ref="AY172:BA172" si="2310">_xlfn.RANK.EQ(AX172, AX$7:AX$375,0)</f>
        <v>169</v>
      </c>
      <c r="AZ172" s="2">
        <v>9</v>
      </c>
      <c r="BA172" s="2">
        <f t="shared" si="2310"/>
        <v>160</v>
      </c>
      <c r="BB172" s="2">
        <v>90</v>
      </c>
      <c r="BC172" s="2">
        <f t="shared" ref="BC172:BE172" si="2311">_xlfn.RANK.EQ(BB172, BB$7:BB$375,0)</f>
        <v>163</v>
      </c>
      <c r="BD172" s="2">
        <v>39</v>
      </c>
      <c r="BE172" s="2">
        <f t="shared" si="2311"/>
        <v>206</v>
      </c>
      <c r="BF172" s="2">
        <v>203</v>
      </c>
      <c r="BG172" s="2">
        <f t="shared" ref="BG172:BI172" si="2312">_xlfn.RANK.EQ(BF172, BF$7:BF$375,0)</f>
        <v>186</v>
      </c>
      <c r="BH172" s="2">
        <v>11</v>
      </c>
      <c r="BI172" s="2">
        <f t="shared" si="2312"/>
        <v>130</v>
      </c>
    </row>
    <row r="173" spans="1:61" x14ac:dyDescent="0.55000000000000004">
      <c r="A173" s="2">
        <v>167</v>
      </c>
      <c r="B173" s="2" t="s">
        <v>223</v>
      </c>
      <c r="C173" s="2" t="s">
        <v>42</v>
      </c>
      <c r="D173" s="2">
        <v>58</v>
      </c>
      <c r="E173" s="2">
        <f t="shared" si="1794"/>
        <v>78</v>
      </c>
      <c r="F173" s="2">
        <v>1</v>
      </c>
      <c r="G173" s="2">
        <f t="shared" ref="G173:I173" si="2313">_xlfn.RANK.EQ(F173, F$7:F$375,0)</f>
        <v>272</v>
      </c>
      <c r="H173" s="3">
        <v>41.719444444444441</v>
      </c>
      <c r="I173" s="2">
        <f t="shared" si="2313"/>
        <v>144</v>
      </c>
      <c r="J173" s="5">
        <v>0.71875</v>
      </c>
      <c r="K173" s="2">
        <f t="shared" ref="K173:M173" si="2314">_xlfn.RANK.EQ(J173, J$7:J$375,0)</f>
        <v>186</v>
      </c>
      <c r="L173" s="2">
        <v>282</v>
      </c>
      <c r="M173" s="2">
        <f t="shared" si="2314"/>
        <v>167</v>
      </c>
      <c r="N173" s="2">
        <v>97</v>
      </c>
      <c r="O173" s="2">
        <f t="shared" ref="O173:Q173" si="2315">_xlfn.RANK.EQ(N173, N$7:N$375,0)</f>
        <v>174</v>
      </c>
      <c r="P173" s="2">
        <v>249</v>
      </c>
      <c r="Q173" s="2">
        <f t="shared" si="2315"/>
        <v>165</v>
      </c>
      <c r="R173" s="4">
        <v>0.39</v>
      </c>
      <c r="S173" s="2">
        <f t="shared" ref="S173:U173" si="2316">_xlfn.RANK.EQ(R173, R$7:R$375,0)</f>
        <v>224</v>
      </c>
      <c r="T173" s="2">
        <v>17</v>
      </c>
      <c r="U173" s="2">
        <f t="shared" si="2316"/>
        <v>270</v>
      </c>
      <c r="V173" s="2">
        <v>29</v>
      </c>
      <c r="W173" s="2">
        <f t="shared" ref="W173:Y173" si="2317">_xlfn.RANK.EQ(V173, V$7:V$375,0)</f>
        <v>285</v>
      </c>
      <c r="X173" s="4">
        <v>0.58599999999999997</v>
      </c>
      <c r="Y173" s="2">
        <f t="shared" si="2317"/>
        <v>68</v>
      </c>
      <c r="Z173" s="2">
        <v>80</v>
      </c>
      <c r="AA173" s="2">
        <f t="shared" ref="AA173:AC173" si="2318">_xlfn.RANK.EQ(Z173, Z$7:Z$375,0)</f>
        <v>60</v>
      </c>
      <c r="AB173" s="2">
        <v>220</v>
      </c>
      <c r="AC173" s="2">
        <f t="shared" si="2318"/>
        <v>65</v>
      </c>
      <c r="AD173" s="4">
        <v>0.36399999999999999</v>
      </c>
      <c r="AE173" s="2">
        <f t="shared" ref="AE173:AG173" si="2319">_xlfn.RANK.EQ(AD173, AD$7:AD$375,0)</f>
        <v>91</v>
      </c>
      <c r="AF173" s="2">
        <v>8</v>
      </c>
      <c r="AG173" s="2">
        <f t="shared" si="2319"/>
        <v>280</v>
      </c>
      <c r="AH173" s="2">
        <v>14</v>
      </c>
      <c r="AI173" s="2">
        <f t="shared" ref="AI173:AK173" si="2320">_xlfn.RANK.EQ(AH173, AH$7:AH$375,0)</f>
        <v>271</v>
      </c>
      <c r="AJ173" s="4">
        <v>0.57099999999999995</v>
      </c>
      <c r="AK173" s="2">
        <f t="shared" si="2320"/>
        <v>285</v>
      </c>
      <c r="AL173" s="2">
        <v>15</v>
      </c>
      <c r="AM173" s="2">
        <f t="shared" ref="AM173:AO173" si="2321">_xlfn.RANK.EQ(AL173, AL$7:AL$375,0)</f>
        <v>241</v>
      </c>
      <c r="AN173" s="2">
        <v>62</v>
      </c>
      <c r="AO173" s="2">
        <f t="shared" si="2321"/>
        <v>174</v>
      </c>
      <c r="AP173" s="2">
        <v>77</v>
      </c>
      <c r="AQ173" s="2">
        <f t="shared" ref="AQ173:AS173" si="2322">_xlfn.RANK.EQ(AP173, AP$7:AP$375,0)</f>
        <v>193</v>
      </c>
      <c r="AR173" s="2">
        <v>76</v>
      </c>
      <c r="AS173" s="2">
        <f t="shared" si="2322"/>
        <v>168</v>
      </c>
      <c r="AT173" s="2">
        <v>33</v>
      </c>
      <c r="AU173" s="2">
        <f t="shared" ref="AU173:AW173" si="2323">_xlfn.RANK.EQ(AT173, AT$7:AT$375,0)</f>
        <v>200</v>
      </c>
      <c r="AV173" s="2">
        <v>24</v>
      </c>
      <c r="AW173" s="2">
        <f t="shared" si="2323"/>
        <v>180</v>
      </c>
      <c r="AX173" s="2">
        <v>0</v>
      </c>
      <c r="AY173" s="2">
        <f t="shared" ref="AY173:BA173" si="2324">_xlfn.RANK.EQ(AX173, AX$7:AX$375,0)</f>
        <v>298</v>
      </c>
      <c r="AZ173" s="2">
        <v>0</v>
      </c>
      <c r="BA173" s="2">
        <f t="shared" si="2324"/>
        <v>337</v>
      </c>
      <c r="BB173" s="2">
        <v>91</v>
      </c>
      <c r="BC173" s="2">
        <f t="shared" ref="BC173:BE173" si="2325">_xlfn.RANK.EQ(BB173, BB$7:BB$375,0)</f>
        <v>162</v>
      </c>
      <c r="BD173" s="2">
        <v>17</v>
      </c>
      <c r="BE173" s="2">
        <f t="shared" si="2325"/>
        <v>275</v>
      </c>
      <c r="BF173" s="2">
        <v>194</v>
      </c>
      <c r="BG173" s="2">
        <f t="shared" ref="BG173:BI173" si="2326">_xlfn.RANK.EQ(BF173, BF$7:BF$375,0)</f>
        <v>193</v>
      </c>
      <c r="BH173" s="2">
        <v>57</v>
      </c>
      <c r="BI173" s="2">
        <f t="shared" si="2326"/>
        <v>99</v>
      </c>
    </row>
    <row r="174" spans="1:61" x14ac:dyDescent="0.55000000000000004">
      <c r="A174" s="2">
        <v>167</v>
      </c>
      <c r="B174" s="2" t="s">
        <v>224</v>
      </c>
      <c r="C174" s="2" t="s">
        <v>106</v>
      </c>
      <c r="D174" s="2">
        <v>37</v>
      </c>
      <c r="E174" s="2">
        <f t="shared" si="1794"/>
        <v>256</v>
      </c>
      <c r="F174" s="2">
        <v>21</v>
      </c>
      <c r="G174" s="2">
        <f t="shared" ref="G174:I174" si="2327">_xlfn.RANK.EQ(F174, F$7:F$375,0)</f>
        <v>146</v>
      </c>
      <c r="H174" s="3">
        <v>31.614583333333332</v>
      </c>
      <c r="I174" s="2">
        <f t="shared" si="2327"/>
        <v>197</v>
      </c>
      <c r="J174" s="5">
        <v>0.85416666666666663</v>
      </c>
      <c r="K174" s="2">
        <f t="shared" ref="K174:M174" si="2328">_xlfn.RANK.EQ(J174, J$7:J$375,0)</f>
        <v>146</v>
      </c>
      <c r="L174" s="2">
        <v>282</v>
      </c>
      <c r="M174" s="2">
        <f t="shared" si="2328"/>
        <v>167</v>
      </c>
      <c r="N174" s="2">
        <v>101</v>
      </c>
      <c r="O174" s="2">
        <f t="shared" ref="O174:Q174" si="2329">_xlfn.RANK.EQ(N174, N$7:N$375,0)</f>
        <v>166</v>
      </c>
      <c r="P174" s="2">
        <v>275</v>
      </c>
      <c r="Q174" s="2">
        <f t="shared" si="2329"/>
        <v>147</v>
      </c>
      <c r="R174" s="4">
        <v>0.36699999999999999</v>
      </c>
      <c r="S174" s="2">
        <f t="shared" ref="S174:U174" si="2330">_xlfn.RANK.EQ(R174, R$7:R$375,0)</f>
        <v>249</v>
      </c>
      <c r="T174" s="2">
        <v>49</v>
      </c>
      <c r="U174" s="2">
        <f t="shared" si="2330"/>
        <v>176</v>
      </c>
      <c r="V174" s="2">
        <v>129</v>
      </c>
      <c r="W174" s="2">
        <f t="shared" ref="W174:Y174" si="2331">_xlfn.RANK.EQ(V174, V$7:V$375,0)</f>
        <v>152</v>
      </c>
      <c r="X174" s="4">
        <v>0.38</v>
      </c>
      <c r="Y174" s="2">
        <f t="shared" si="2331"/>
        <v>310</v>
      </c>
      <c r="Z174" s="2">
        <v>52</v>
      </c>
      <c r="AA174" s="2">
        <f t="shared" ref="AA174:AC174" si="2332">_xlfn.RANK.EQ(Z174, Z$7:Z$375,0)</f>
        <v>116</v>
      </c>
      <c r="AB174" s="2">
        <v>146</v>
      </c>
      <c r="AC174" s="2">
        <f t="shared" si="2332"/>
        <v>126</v>
      </c>
      <c r="AD174" s="4">
        <v>0.35599999999999998</v>
      </c>
      <c r="AE174" s="2">
        <f t="shared" ref="AE174:AG174" si="2333">_xlfn.RANK.EQ(AD174, AD$7:AD$375,0)</f>
        <v>103</v>
      </c>
      <c r="AF174" s="2">
        <v>28</v>
      </c>
      <c r="AG174" s="2">
        <f t="shared" si="2333"/>
        <v>182</v>
      </c>
      <c r="AH174" s="2">
        <v>37</v>
      </c>
      <c r="AI174" s="2">
        <f t="shared" ref="AI174:AK174" si="2334">_xlfn.RANK.EQ(AH174, AH$7:AH$375,0)</f>
        <v>190</v>
      </c>
      <c r="AJ174" s="4">
        <v>0.75700000000000001</v>
      </c>
      <c r="AK174" s="2">
        <f t="shared" si="2334"/>
        <v>141</v>
      </c>
      <c r="AL174" s="2">
        <v>10</v>
      </c>
      <c r="AM174" s="2">
        <f t="shared" ref="AM174:AO174" si="2335">_xlfn.RANK.EQ(AL174, AL$7:AL$375,0)</f>
        <v>276</v>
      </c>
      <c r="AN174" s="2">
        <v>32</v>
      </c>
      <c r="AO174" s="2">
        <f t="shared" si="2335"/>
        <v>253</v>
      </c>
      <c r="AP174" s="2">
        <v>42</v>
      </c>
      <c r="AQ174" s="2">
        <f t="shared" ref="AQ174:AS174" si="2336">_xlfn.RANK.EQ(AP174, AP$7:AP$375,0)</f>
        <v>264</v>
      </c>
      <c r="AR174" s="2">
        <v>53</v>
      </c>
      <c r="AS174" s="2">
        <f t="shared" si="2336"/>
        <v>211</v>
      </c>
      <c r="AT174" s="2">
        <v>37</v>
      </c>
      <c r="AU174" s="2">
        <f t="shared" ref="AU174:AW174" si="2337">_xlfn.RANK.EQ(AT174, AT$7:AT$375,0)</f>
        <v>185</v>
      </c>
      <c r="AV174" s="2">
        <v>23</v>
      </c>
      <c r="AW174" s="2">
        <f t="shared" si="2337"/>
        <v>190</v>
      </c>
      <c r="AX174" s="2">
        <v>2</v>
      </c>
      <c r="AY174" s="2">
        <f t="shared" ref="AY174:BA174" si="2338">_xlfn.RANK.EQ(AX174, AX$7:AX$375,0)</f>
        <v>234</v>
      </c>
      <c r="AZ174" s="2">
        <v>11</v>
      </c>
      <c r="BA174" s="2">
        <f t="shared" si="2338"/>
        <v>132</v>
      </c>
      <c r="BB174" s="2">
        <v>63</v>
      </c>
      <c r="BC174" s="2">
        <f t="shared" ref="BC174:BE174" si="2339">_xlfn.RANK.EQ(BB174, BB$7:BB$375,0)</f>
        <v>235</v>
      </c>
      <c r="BD174" s="2">
        <v>39</v>
      </c>
      <c r="BE174" s="2">
        <f t="shared" si="2339"/>
        <v>206</v>
      </c>
      <c r="BF174" s="2">
        <v>147</v>
      </c>
      <c r="BG174" s="2">
        <f t="shared" ref="BG174:BI174" si="2340">_xlfn.RANK.EQ(BF174, BF$7:BF$375,0)</f>
        <v>207</v>
      </c>
      <c r="BH174" s="2">
        <v>-233</v>
      </c>
      <c r="BI174" s="2">
        <f t="shared" si="2340"/>
        <v>347</v>
      </c>
    </row>
    <row r="175" spans="1:61" x14ac:dyDescent="0.55000000000000004">
      <c r="A175" s="2">
        <v>167</v>
      </c>
      <c r="B175" s="2" t="s">
        <v>225</v>
      </c>
      <c r="C175" s="2" t="s">
        <v>84</v>
      </c>
      <c r="D175" s="2">
        <v>59</v>
      </c>
      <c r="E175" s="2">
        <f t="shared" si="1794"/>
        <v>58</v>
      </c>
      <c r="F175" s="2">
        <v>7</v>
      </c>
      <c r="G175" s="2">
        <f t="shared" ref="G175:I175" si="2341">_xlfn.RANK.EQ(F175, F$7:F$375,0)</f>
        <v>218</v>
      </c>
      <c r="H175" s="3">
        <v>35.448611111111113</v>
      </c>
      <c r="I175" s="2">
        <f t="shared" si="2341"/>
        <v>171</v>
      </c>
      <c r="J175" s="5">
        <v>0.60069444444444442</v>
      </c>
      <c r="K175" s="2">
        <f t="shared" ref="K175:M175" si="2342">_xlfn.RANK.EQ(J175, J$7:J$375,0)</f>
        <v>230</v>
      </c>
      <c r="L175" s="2">
        <v>282</v>
      </c>
      <c r="M175" s="2">
        <f t="shared" si="2342"/>
        <v>167</v>
      </c>
      <c r="N175" s="2">
        <v>103</v>
      </c>
      <c r="O175" s="2">
        <f t="shared" ref="O175:Q175" si="2343">_xlfn.RANK.EQ(N175, N$7:N$375,0)</f>
        <v>161</v>
      </c>
      <c r="P175" s="2">
        <v>282</v>
      </c>
      <c r="Q175" s="2">
        <f t="shared" si="2343"/>
        <v>145</v>
      </c>
      <c r="R175" s="4">
        <v>0.36499999999999999</v>
      </c>
      <c r="S175" s="2">
        <f t="shared" ref="S175:U175" si="2344">_xlfn.RANK.EQ(R175, R$7:R$375,0)</f>
        <v>254</v>
      </c>
      <c r="T175" s="2">
        <v>32</v>
      </c>
      <c r="U175" s="2">
        <f t="shared" si="2344"/>
        <v>222</v>
      </c>
      <c r="V175" s="2">
        <v>86</v>
      </c>
      <c r="W175" s="2">
        <f t="shared" ref="W175:Y175" si="2345">_xlfn.RANK.EQ(V175, V$7:V$375,0)</f>
        <v>196</v>
      </c>
      <c r="X175" s="4">
        <v>0.372</v>
      </c>
      <c r="Y175" s="2">
        <f t="shared" si="2345"/>
        <v>314</v>
      </c>
      <c r="Z175" s="2">
        <v>71</v>
      </c>
      <c r="AA175" s="2">
        <f t="shared" ref="AA175:AC175" si="2346">_xlfn.RANK.EQ(Z175, Z$7:Z$375,0)</f>
        <v>74</v>
      </c>
      <c r="AB175" s="2">
        <v>196</v>
      </c>
      <c r="AC175" s="2">
        <f t="shared" si="2346"/>
        <v>78</v>
      </c>
      <c r="AD175" s="4">
        <v>0.36199999999999999</v>
      </c>
      <c r="AE175" s="2">
        <f t="shared" ref="AE175:AG175" si="2347">_xlfn.RANK.EQ(AD175, AD$7:AD$375,0)</f>
        <v>94</v>
      </c>
      <c r="AF175" s="2">
        <v>5</v>
      </c>
      <c r="AG175" s="2">
        <f t="shared" si="2347"/>
        <v>297</v>
      </c>
      <c r="AH175" s="2">
        <v>6</v>
      </c>
      <c r="AI175" s="2">
        <f t="shared" ref="AI175:AK175" si="2348">_xlfn.RANK.EQ(AH175, AH$7:AH$375,0)</f>
        <v>307</v>
      </c>
      <c r="AJ175" s="4">
        <v>0.83299999999999996</v>
      </c>
      <c r="AK175" s="2">
        <f t="shared" si="2348"/>
        <v>50</v>
      </c>
      <c r="AL175" s="2">
        <v>16</v>
      </c>
      <c r="AM175" s="2">
        <f t="shared" ref="AM175:AO175" si="2349">_xlfn.RANK.EQ(AL175, AL$7:AL$375,0)</f>
        <v>233</v>
      </c>
      <c r="AN175" s="2">
        <v>32</v>
      </c>
      <c r="AO175" s="2">
        <f t="shared" si="2349"/>
        <v>253</v>
      </c>
      <c r="AP175" s="2">
        <v>48</v>
      </c>
      <c r="AQ175" s="2">
        <f t="shared" ref="AQ175:AS175" si="2350">_xlfn.RANK.EQ(AP175, AP$7:AP$375,0)</f>
        <v>252</v>
      </c>
      <c r="AR175" s="2">
        <v>38</v>
      </c>
      <c r="AS175" s="2">
        <f t="shared" si="2350"/>
        <v>239</v>
      </c>
      <c r="AT175" s="2">
        <v>26</v>
      </c>
      <c r="AU175" s="2">
        <f t="shared" ref="AU175:AW175" si="2351">_xlfn.RANK.EQ(AT175, AT$7:AT$375,0)</f>
        <v>225</v>
      </c>
      <c r="AV175" s="2">
        <v>20</v>
      </c>
      <c r="AW175" s="2">
        <f t="shared" si="2351"/>
        <v>207</v>
      </c>
      <c r="AX175" s="2">
        <v>2</v>
      </c>
      <c r="AY175" s="2">
        <f t="shared" ref="AY175:BA175" si="2352">_xlfn.RANK.EQ(AX175, AX$7:AX$375,0)</f>
        <v>234</v>
      </c>
      <c r="AZ175" s="2">
        <v>15</v>
      </c>
      <c r="BA175" s="2">
        <f t="shared" si="2352"/>
        <v>87</v>
      </c>
      <c r="BB175" s="2">
        <v>78</v>
      </c>
      <c r="BC175" s="2">
        <f t="shared" ref="BC175:BE175" si="2353">_xlfn.RANK.EQ(BB175, BB$7:BB$375,0)</f>
        <v>196</v>
      </c>
      <c r="BD175" s="2">
        <v>13</v>
      </c>
      <c r="BE175" s="2">
        <f t="shared" si="2353"/>
        <v>290</v>
      </c>
      <c r="BF175" s="2">
        <v>104</v>
      </c>
      <c r="BG175" s="2">
        <f t="shared" ref="BG175:BI175" si="2354">_xlfn.RANK.EQ(BF175, BF$7:BF$375,0)</f>
        <v>242</v>
      </c>
      <c r="BH175" s="2">
        <v>-6</v>
      </c>
      <c r="BI175" s="2">
        <f t="shared" si="2354"/>
        <v>158</v>
      </c>
    </row>
    <row r="176" spans="1:61" x14ac:dyDescent="0.55000000000000004">
      <c r="A176" s="2">
        <v>170</v>
      </c>
      <c r="B176" s="2" t="s">
        <v>226</v>
      </c>
      <c r="C176" s="2" t="s">
        <v>84</v>
      </c>
      <c r="D176" s="2">
        <v>60</v>
      </c>
      <c r="E176" s="2">
        <f t="shared" si="1794"/>
        <v>1</v>
      </c>
      <c r="F176" s="2">
        <v>25</v>
      </c>
      <c r="G176" s="2">
        <f t="shared" ref="G176:I176" si="2355">_xlfn.RANK.EQ(F176, F$7:F$375,0)</f>
        <v>132</v>
      </c>
      <c r="H176" s="3">
        <v>50.326388888888886</v>
      </c>
      <c r="I176" s="2">
        <f t="shared" si="2355"/>
        <v>108</v>
      </c>
      <c r="J176" s="5">
        <v>0.83819444444444446</v>
      </c>
      <c r="K176" s="2">
        <f t="shared" ref="K176:M176" si="2356">_xlfn.RANK.EQ(J176, J$7:J$375,0)</f>
        <v>149</v>
      </c>
      <c r="L176" s="2">
        <v>279</v>
      </c>
      <c r="M176" s="2">
        <f t="shared" si="2356"/>
        <v>170</v>
      </c>
      <c r="N176" s="2">
        <v>100</v>
      </c>
      <c r="O176" s="2">
        <f t="shared" ref="O176:Q176" si="2357">_xlfn.RANK.EQ(N176, N$7:N$375,0)</f>
        <v>170</v>
      </c>
      <c r="P176" s="2">
        <v>256</v>
      </c>
      <c r="Q176" s="2">
        <f t="shared" si="2357"/>
        <v>159</v>
      </c>
      <c r="R176" s="4">
        <v>0.39100000000000001</v>
      </c>
      <c r="S176" s="2">
        <f t="shared" ref="S176:U176" si="2358">_xlfn.RANK.EQ(R176, R$7:R$375,0)</f>
        <v>223</v>
      </c>
      <c r="T176" s="2">
        <v>71</v>
      </c>
      <c r="U176" s="2">
        <f t="shared" si="2358"/>
        <v>137</v>
      </c>
      <c r="V176" s="2">
        <v>146</v>
      </c>
      <c r="W176" s="2">
        <f t="shared" ref="W176:Y176" si="2359">_xlfn.RANK.EQ(V176, V$7:V$375,0)</f>
        <v>139</v>
      </c>
      <c r="X176" s="4">
        <v>0.48599999999999999</v>
      </c>
      <c r="Y176" s="2">
        <f t="shared" si="2359"/>
        <v>201</v>
      </c>
      <c r="Z176" s="2">
        <v>29</v>
      </c>
      <c r="AA176" s="2">
        <f t="shared" ref="AA176:AC176" si="2360">_xlfn.RANK.EQ(Z176, Z$7:Z$375,0)</f>
        <v>178</v>
      </c>
      <c r="AB176" s="2">
        <v>110</v>
      </c>
      <c r="AC176" s="2">
        <f t="shared" si="2360"/>
        <v>158</v>
      </c>
      <c r="AD176" s="4">
        <v>0.26400000000000001</v>
      </c>
      <c r="AE176" s="2">
        <f t="shared" ref="AE176:AG176" si="2361">_xlfn.RANK.EQ(AD176, AD$7:AD$375,0)</f>
        <v>261</v>
      </c>
      <c r="AF176" s="2">
        <v>50</v>
      </c>
      <c r="AG176" s="2">
        <f t="shared" si="2361"/>
        <v>128</v>
      </c>
      <c r="AH176" s="2">
        <v>74</v>
      </c>
      <c r="AI176" s="2">
        <f t="shared" ref="AI176:AK176" si="2362">_xlfn.RANK.EQ(AH176, AH$7:AH$375,0)</f>
        <v>121</v>
      </c>
      <c r="AJ176" s="4">
        <v>0.67600000000000005</v>
      </c>
      <c r="AK176" s="2">
        <f t="shared" si="2362"/>
        <v>225</v>
      </c>
      <c r="AL176" s="2">
        <v>18</v>
      </c>
      <c r="AM176" s="2">
        <f t="shared" ref="AM176:AO176" si="2363">_xlfn.RANK.EQ(AL176, AL$7:AL$375,0)</f>
        <v>215</v>
      </c>
      <c r="AN176" s="2">
        <v>96</v>
      </c>
      <c r="AO176" s="2">
        <f t="shared" si="2363"/>
        <v>114</v>
      </c>
      <c r="AP176" s="2">
        <v>114</v>
      </c>
      <c r="AQ176" s="2">
        <f t="shared" ref="AQ176:AS176" si="2364">_xlfn.RANK.EQ(AP176, AP$7:AP$375,0)</f>
        <v>135</v>
      </c>
      <c r="AR176" s="2">
        <v>182</v>
      </c>
      <c r="AS176" s="2">
        <f t="shared" si="2364"/>
        <v>50</v>
      </c>
      <c r="AT176" s="2">
        <v>86</v>
      </c>
      <c r="AU176" s="2">
        <f t="shared" ref="AU176:AW176" si="2365">_xlfn.RANK.EQ(AT176, AT$7:AT$375,0)</f>
        <v>69</v>
      </c>
      <c r="AV176" s="2">
        <v>43</v>
      </c>
      <c r="AW176" s="2">
        <f t="shared" si="2365"/>
        <v>90</v>
      </c>
      <c r="AX176" s="2">
        <v>2</v>
      </c>
      <c r="AY176" s="2">
        <f t="shared" ref="AY176:BA176" si="2366">_xlfn.RANK.EQ(AX176, AX$7:AX$375,0)</f>
        <v>234</v>
      </c>
      <c r="AZ176" s="2">
        <v>17</v>
      </c>
      <c r="BA176" s="2">
        <f t="shared" si="2366"/>
        <v>66</v>
      </c>
      <c r="BB176" s="2">
        <v>144</v>
      </c>
      <c r="BC176" s="2">
        <f t="shared" ref="BC176:BE176" si="2367">_xlfn.RANK.EQ(BB176, BB$7:BB$375,0)</f>
        <v>26</v>
      </c>
      <c r="BD176" s="2">
        <v>113</v>
      </c>
      <c r="BE176" s="2">
        <f t="shared" si="2367"/>
        <v>97</v>
      </c>
      <c r="BF176" s="2">
        <v>305</v>
      </c>
      <c r="BG176" s="2">
        <f t="shared" ref="BG176:BI176" si="2368">_xlfn.RANK.EQ(BF176, BF$7:BF$375,0)</f>
        <v>140</v>
      </c>
      <c r="BH176" s="2">
        <v>-108</v>
      </c>
      <c r="BI176" s="2">
        <f t="shared" si="2368"/>
        <v>289</v>
      </c>
    </row>
    <row r="177" spans="1:61" x14ac:dyDescent="0.55000000000000004">
      <c r="A177" s="2">
        <v>171</v>
      </c>
      <c r="B177" s="2" t="s">
        <v>227</v>
      </c>
      <c r="C177" s="2" t="s">
        <v>79</v>
      </c>
      <c r="D177" s="2">
        <v>39</v>
      </c>
      <c r="E177" s="2">
        <f t="shared" si="1794"/>
        <v>248</v>
      </c>
      <c r="F177" s="2">
        <v>29</v>
      </c>
      <c r="G177" s="2">
        <f t="shared" ref="G177:I177" si="2369">_xlfn.RANK.EQ(F177, F$7:F$375,0)</f>
        <v>120</v>
      </c>
      <c r="H177" s="3">
        <v>29.115277777777777</v>
      </c>
      <c r="I177" s="2">
        <f t="shared" si="2369"/>
        <v>207</v>
      </c>
      <c r="J177" s="5">
        <v>0.74652777777777779</v>
      </c>
      <c r="K177" s="2">
        <f t="shared" ref="K177:M177" si="2370">_xlfn.RANK.EQ(J177, J$7:J$375,0)</f>
        <v>179</v>
      </c>
      <c r="L177" s="2">
        <v>276</v>
      </c>
      <c r="M177" s="2">
        <f t="shared" si="2370"/>
        <v>171</v>
      </c>
      <c r="N177" s="2">
        <v>101</v>
      </c>
      <c r="O177" s="2">
        <f t="shared" ref="O177:Q177" si="2371">_xlfn.RANK.EQ(N177, N$7:N$375,0)</f>
        <v>166</v>
      </c>
      <c r="P177" s="2">
        <v>222</v>
      </c>
      <c r="Q177" s="2">
        <f t="shared" si="2371"/>
        <v>183</v>
      </c>
      <c r="R177" s="4">
        <v>0.45500000000000002</v>
      </c>
      <c r="S177" s="2">
        <f t="shared" ref="S177:U177" si="2372">_xlfn.RANK.EQ(R177, R$7:R$375,0)</f>
        <v>110</v>
      </c>
      <c r="T177" s="2">
        <v>81</v>
      </c>
      <c r="U177" s="2">
        <f t="shared" si="2372"/>
        <v>120</v>
      </c>
      <c r="V177" s="2">
        <v>150</v>
      </c>
      <c r="W177" s="2">
        <f t="shared" ref="W177:Y177" si="2373">_xlfn.RANK.EQ(V177, V$7:V$375,0)</f>
        <v>136</v>
      </c>
      <c r="X177" s="4">
        <v>0.54</v>
      </c>
      <c r="Y177" s="2">
        <f t="shared" si="2373"/>
        <v>123</v>
      </c>
      <c r="Z177" s="2">
        <v>20</v>
      </c>
      <c r="AA177" s="2">
        <f t="shared" ref="AA177:AC177" si="2374">_xlfn.RANK.EQ(Z177, Z$7:Z$375,0)</f>
        <v>208</v>
      </c>
      <c r="AB177" s="2">
        <v>72</v>
      </c>
      <c r="AC177" s="2">
        <f t="shared" si="2374"/>
        <v>203</v>
      </c>
      <c r="AD177" s="4">
        <v>0.27800000000000002</v>
      </c>
      <c r="AE177" s="2">
        <f t="shared" ref="AE177:AG177" si="2375">_xlfn.RANK.EQ(AD177, AD$7:AD$375,0)</f>
        <v>246</v>
      </c>
      <c r="AF177" s="2">
        <v>54</v>
      </c>
      <c r="AG177" s="2">
        <f t="shared" si="2375"/>
        <v>122</v>
      </c>
      <c r="AH177" s="2">
        <v>71</v>
      </c>
      <c r="AI177" s="2">
        <f t="shared" ref="AI177:AK177" si="2376">_xlfn.RANK.EQ(AH177, AH$7:AH$375,0)</f>
        <v>123</v>
      </c>
      <c r="AJ177" s="4">
        <v>0.76100000000000001</v>
      </c>
      <c r="AK177" s="2">
        <f t="shared" si="2376"/>
        <v>136</v>
      </c>
      <c r="AL177" s="2">
        <v>18</v>
      </c>
      <c r="AM177" s="2">
        <f t="shared" ref="AM177:AO177" si="2377">_xlfn.RANK.EQ(AL177, AL$7:AL$375,0)</f>
        <v>215</v>
      </c>
      <c r="AN177" s="2">
        <v>45</v>
      </c>
      <c r="AO177" s="2">
        <f t="shared" si="2377"/>
        <v>210</v>
      </c>
      <c r="AP177" s="2">
        <v>63</v>
      </c>
      <c r="AQ177" s="2">
        <f t="shared" ref="AQ177:AS177" si="2378">_xlfn.RANK.EQ(AP177, AP$7:AP$375,0)</f>
        <v>220</v>
      </c>
      <c r="AR177" s="2">
        <v>123</v>
      </c>
      <c r="AS177" s="2">
        <f t="shared" si="2378"/>
        <v>94</v>
      </c>
      <c r="AT177" s="2">
        <v>85</v>
      </c>
      <c r="AU177" s="2">
        <f t="shared" ref="AU177:AW177" si="2379">_xlfn.RANK.EQ(AT177, AT$7:AT$375,0)</f>
        <v>71</v>
      </c>
      <c r="AV177" s="2">
        <v>12</v>
      </c>
      <c r="AW177" s="2">
        <f t="shared" si="2379"/>
        <v>260</v>
      </c>
      <c r="AX177" s="2">
        <v>4</v>
      </c>
      <c r="AY177" s="2">
        <f t="shared" ref="AY177:BA177" si="2380">_xlfn.RANK.EQ(AX177, AX$7:AX$375,0)</f>
        <v>186</v>
      </c>
      <c r="AZ177" s="2">
        <v>19</v>
      </c>
      <c r="BA177" s="2">
        <f t="shared" si="2380"/>
        <v>52</v>
      </c>
      <c r="BB177" s="2">
        <v>93</v>
      </c>
      <c r="BC177" s="2">
        <f t="shared" ref="BC177:BE177" si="2381">_xlfn.RANK.EQ(BB177, BB$7:BB$375,0)</f>
        <v>158</v>
      </c>
      <c r="BD177" s="2">
        <v>101</v>
      </c>
      <c r="BE177" s="2">
        <f t="shared" si="2381"/>
        <v>108</v>
      </c>
      <c r="BF177" s="2">
        <v>243</v>
      </c>
      <c r="BG177" s="2">
        <f t="shared" ref="BG177:BI177" si="2382">_xlfn.RANK.EQ(BF177, BF$7:BF$375,0)</f>
        <v>168</v>
      </c>
      <c r="BH177" s="2">
        <v>-233</v>
      </c>
      <c r="BI177" s="2">
        <f t="shared" si="2382"/>
        <v>347</v>
      </c>
    </row>
    <row r="178" spans="1:61" x14ac:dyDescent="0.55000000000000004">
      <c r="A178" s="2">
        <v>172</v>
      </c>
      <c r="B178" s="2" t="s">
        <v>228</v>
      </c>
      <c r="C178" s="2" t="s">
        <v>113</v>
      </c>
      <c r="D178" s="2">
        <v>60</v>
      </c>
      <c r="E178" s="2">
        <f t="shared" si="1794"/>
        <v>1</v>
      </c>
      <c r="F178" s="2">
        <v>25</v>
      </c>
      <c r="G178" s="2">
        <f t="shared" ref="G178:I178" si="2383">_xlfn.RANK.EQ(F178, F$7:F$375,0)</f>
        <v>132</v>
      </c>
      <c r="H178" s="3">
        <v>33.829861111111114</v>
      </c>
      <c r="I178" s="2">
        <f t="shared" si="2383"/>
        <v>182</v>
      </c>
      <c r="J178" s="5">
        <v>0.56319444444444444</v>
      </c>
      <c r="K178" s="2">
        <f t="shared" ref="K178:M178" si="2384">_xlfn.RANK.EQ(J178, J$7:J$375,0)</f>
        <v>237</v>
      </c>
      <c r="L178" s="2">
        <v>273</v>
      </c>
      <c r="M178" s="2">
        <f t="shared" si="2384"/>
        <v>172</v>
      </c>
      <c r="N178" s="2">
        <v>103</v>
      </c>
      <c r="O178" s="2">
        <f t="shared" ref="O178:Q178" si="2385">_xlfn.RANK.EQ(N178, N$7:N$375,0)</f>
        <v>161</v>
      </c>
      <c r="P178" s="2">
        <v>249</v>
      </c>
      <c r="Q178" s="2">
        <f t="shared" si="2385"/>
        <v>165</v>
      </c>
      <c r="R178" s="4">
        <v>0.41399999999999998</v>
      </c>
      <c r="S178" s="2">
        <f t="shared" ref="S178:U178" si="2386">_xlfn.RANK.EQ(R178, R$7:R$375,0)</f>
        <v>175</v>
      </c>
      <c r="T178" s="2">
        <v>65</v>
      </c>
      <c r="U178" s="2">
        <f t="shared" si="2386"/>
        <v>147</v>
      </c>
      <c r="V178" s="2">
        <v>135</v>
      </c>
      <c r="W178" s="2">
        <f t="shared" ref="W178:Y178" si="2387">_xlfn.RANK.EQ(V178, V$7:V$375,0)</f>
        <v>147</v>
      </c>
      <c r="X178" s="4">
        <v>0.48099999999999998</v>
      </c>
      <c r="Y178" s="2">
        <f t="shared" si="2387"/>
        <v>206</v>
      </c>
      <c r="Z178" s="2">
        <v>38</v>
      </c>
      <c r="AA178" s="2">
        <f t="shared" ref="AA178:AC178" si="2388">_xlfn.RANK.EQ(Z178, Z$7:Z$375,0)</f>
        <v>149</v>
      </c>
      <c r="AB178" s="2">
        <v>114</v>
      </c>
      <c r="AC178" s="2">
        <f t="shared" si="2388"/>
        <v>154</v>
      </c>
      <c r="AD178" s="4">
        <v>0.33300000000000002</v>
      </c>
      <c r="AE178" s="2">
        <f t="shared" ref="AE178:AG178" si="2389">_xlfn.RANK.EQ(AD178, AD$7:AD$375,0)</f>
        <v>149</v>
      </c>
      <c r="AF178" s="2">
        <v>29</v>
      </c>
      <c r="AG178" s="2">
        <f t="shared" si="2389"/>
        <v>176</v>
      </c>
      <c r="AH178" s="2">
        <v>44</v>
      </c>
      <c r="AI178" s="2">
        <f t="shared" ref="AI178:AK178" si="2390">_xlfn.RANK.EQ(AH178, AH$7:AH$375,0)</f>
        <v>164</v>
      </c>
      <c r="AJ178" s="4">
        <v>0.65900000000000003</v>
      </c>
      <c r="AK178" s="2">
        <f t="shared" si="2390"/>
        <v>241</v>
      </c>
      <c r="AL178" s="2">
        <v>49</v>
      </c>
      <c r="AM178" s="2">
        <f t="shared" ref="AM178:AO178" si="2391">_xlfn.RANK.EQ(AL178, AL$7:AL$375,0)</f>
        <v>92</v>
      </c>
      <c r="AN178" s="2">
        <v>61</v>
      </c>
      <c r="AO178" s="2">
        <f t="shared" si="2391"/>
        <v>178</v>
      </c>
      <c r="AP178" s="2">
        <v>110</v>
      </c>
      <c r="AQ178" s="2">
        <f t="shared" ref="AQ178:AS178" si="2392">_xlfn.RANK.EQ(AP178, AP$7:AP$375,0)</f>
        <v>144</v>
      </c>
      <c r="AR178" s="2">
        <v>65</v>
      </c>
      <c r="AS178" s="2">
        <f t="shared" si="2392"/>
        <v>187</v>
      </c>
      <c r="AT178" s="2">
        <v>62</v>
      </c>
      <c r="AU178" s="2">
        <f t="shared" ref="AU178:AW178" si="2393">_xlfn.RANK.EQ(AT178, AT$7:AT$375,0)</f>
        <v>117</v>
      </c>
      <c r="AV178" s="2">
        <v>58</v>
      </c>
      <c r="AW178" s="2">
        <f t="shared" si="2393"/>
        <v>36</v>
      </c>
      <c r="AX178" s="2">
        <v>12</v>
      </c>
      <c r="AY178" s="2">
        <f t="shared" ref="AY178:BA178" si="2394">_xlfn.RANK.EQ(AX178, AX$7:AX$375,0)</f>
        <v>88</v>
      </c>
      <c r="AZ178" s="2">
        <v>12</v>
      </c>
      <c r="BA178" s="2">
        <f t="shared" si="2394"/>
        <v>124</v>
      </c>
      <c r="BB178" s="2">
        <v>112</v>
      </c>
      <c r="BC178" s="2">
        <f t="shared" ref="BC178:BE178" si="2395">_xlfn.RANK.EQ(BB178, BB$7:BB$375,0)</f>
        <v>104</v>
      </c>
      <c r="BD178" s="2">
        <v>59</v>
      </c>
      <c r="BE178" s="2">
        <f t="shared" si="2395"/>
        <v>158</v>
      </c>
      <c r="BF178" s="2">
        <v>230</v>
      </c>
      <c r="BG178" s="2">
        <f t="shared" ref="BG178:BI178" si="2396">_xlfn.RANK.EQ(BF178, BF$7:BF$375,0)</f>
        <v>173</v>
      </c>
      <c r="BH178" s="2">
        <v>-176</v>
      </c>
      <c r="BI178" s="2">
        <f t="shared" si="2396"/>
        <v>332</v>
      </c>
    </row>
    <row r="179" spans="1:61" x14ac:dyDescent="0.55000000000000004">
      <c r="A179" s="2">
        <v>173</v>
      </c>
      <c r="B179" s="2" t="s">
        <v>229</v>
      </c>
      <c r="C179" s="2" t="s">
        <v>46</v>
      </c>
      <c r="D179" s="2">
        <v>60</v>
      </c>
      <c r="E179" s="2">
        <f t="shared" si="1794"/>
        <v>1</v>
      </c>
      <c r="F179" s="2">
        <v>2</v>
      </c>
      <c r="G179" s="2">
        <f t="shared" ref="G179:I179" si="2397">_xlfn.RANK.EQ(F179, F$7:F$375,0)</f>
        <v>256</v>
      </c>
      <c r="H179" s="3">
        <v>36.541666666666664</v>
      </c>
      <c r="I179" s="2">
        <f t="shared" si="2397"/>
        <v>166</v>
      </c>
      <c r="J179" s="5">
        <v>0.60902777777777772</v>
      </c>
      <c r="K179" s="2">
        <f t="shared" ref="K179:M179" si="2398">_xlfn.RANK.EQ(J179, J$7:J$375,0)</f>
        <v>226</v>
      </c>
      <c r="L179" s="2">
        <v>267</v>
      </c>
      <c r="M179" s="2">
        <f t="shared" si="2398"/>
        <v>173</v>
      </c>
      <c r="N179" s="2">
        <v>90</v>
      </c>
      <c r="O179" s="2">
        <f t="shared" ref="O179:Q179" si="2399">_xlfn.RANK.EQ(N179, N$7:N$375,0)</f>
        <v>179</v>
      </c>
      <c r="P179" s="2">
        <v>209</v>
      </c>
      <c r="Q179" s="2">
        <f t="shared" si="2399"/>
        <v>192</v>
      </c>
      <c r="R179" s="4">
        <v>0.43099999999999999</v>
      </c>
      <c r="S179" s="2">
        <f t="shared" ref="S179:U179" si="2400">_xlfn.RANK.EQ(R179, R$7:R$375,0)</f>
        <v>145</v>
      </c>
      <c r="T179" s="2">
        <v>33</v>
      </c>
      <c r="U179" s="2">
        <f t="shared" si="2400"/>
        <v>216</v>
      </c>
      <c r="V179" s="2">
        <v>74</v>
      </c>
      <c r="W179" s="2">
        <f t="shared" ref="W179:Y179" si="2401">_xlfn.RANK.EQ(V179, V$7:V$375,0)</f>
        <v>214</v>
      </c>
      <c r="X179" s="4">
        <v>0.44600000000000001</v>
      </c>
      <c r="Y179" s="2">
        <f t="shared" si="2401"/>
        <v>248</v>
      </c>
      <c r="Z179" s="2">
        <v>57</v>
      </c>
      <c r="AA179" s="2">
        <f t="shared" ref="AA179:AC179" si="2402">_xlfn.RANK.EQ(Z179, Z$7:Z$375,0)</f>
        <v>100</v>
      </c>
      <c r="AB179" s="2">
        <v>135</v>
      </c>
      <c r="AC179" s="2">
        <f t="shared" si="2402"/>
        <v>136</v>
      </c>
      <c r="AD179" s="4">
        <v>0.42199999999999999</v>
      </c>
      <c r="AE179" s="2">
        <f t="shared" ref="AE179:AG179" si="2403">_xlfn.RANK.EQ(AD179, AD$7:AD$375,0)</f>
        <v>28</v>
      </c>
      <c r="AF179" s="2">
        <v>30</v>
      </c>
      <c r="AG179" s="2">
        <f t="shared" si="2403"/>
        <v>168</v>
      </c>
      <c r="AH179" s="2">
        <v>52</v>
      </c>
      <c r="AI179" s="2">
        <f t="shared" ref="AI179:AK179" si="2404">_xlfn.RANK.EQ(AH179, AH$7:AH$375,0)</f>
        <v>153</v>
      </c>
      <c r="AJ179" s="4">
        <v>0.57699999999999996</v>
      </c>
      <c r="AK179" s="2">
        <f t="shared" si="2404"/>
        <v>281</v>
      </c>
      <c r="AL179" s="2">
        <v>18</v>
      </c>
      <c r="AM179" s="2">
        <f t="shared" ref="AM179:AO179" si="2405">_xlfn.RANK.EQ(AL179, AL$7:AL$375,0)</f>
        <v>215</v>
      </c>
      <c r="AN179" s="2">
        <v>44</v>
      </c>
      <c r="AO179" s="2">
        <f t="shared" si="2405"/>
        <v>214</v>
      </c>
      <c r="AP179" s="2">
        <v>62</v>
      </c>
      <c r="AQ179" s="2">
        <f t="shared" ref="AQ179:AS179" si="2406">_xlfn.RANK.EQ(AP179, AP$7:AP$375,0)</f>
        <v>223</v>
      </c>
      <c r="AR179" s="2">
        <v>175</v>
      </c>
      <c r="AS179" s="2">
        <f t="shared" si="2406"/>
        <v>55</v>
      </c>
      <c r="AT179" s="2">
        <v>58</v>
      </c>
      <c r="AU179" s="2">
        <f t="shared" ref="AU179:AW179" si="2407">_xlfn.RANK.EQ(AT179, AT$7:AT$375,0)</f>
        <v>126</v>
      </c>
      <c r="AV179" s="2">
        <v>37</v>
      </c>
      <c r="AW179" s="2">
        <f t="shared" si="2407"/>
        <v>120</v>
      </c>
      <c r="AX179" s="2">
        <v>2</v>
      </c>
      <c r="AY179" s="2">
        <f t="shared" ref="AY179:BA179" si="2408">_xlfn.RANK.EQ(AX179, AX$7:AX$375,0)</f>
        <v>234</v>
      </c>
      <c r="AZ179" s="2">
        <v>7</v>
      </c>
      <c r="BA179" s="2">
        <f t="shared" si="2408"/>
        <v>195</v>
      </c>
      <c r="BB179" s="2">
        <v>97</v>
      </c>
      <c r="BC179" s="2">
        <f t="shared" ref="BC179:BE179" si="2409">_xlfn.RANK.EQ(BB179, BB$7:BB$375,0)</f>
        <v>147</v>
      </c>
      <c r="BD179" s="2">
        <v>60</v>
      </c>
      <c r="BE179" s="2">
        <f t="shared" si="2409"/>
        <v>156</v>
      </c>
      <c r="BF179" s="2">
        <v>298</v>
      </c>
      <c r="BG179" s="2">
        <f t="shared" ref="BG179:BI179" si="2410">_xlfn.RANK.EQ(BF179, BF$7:BF$375,0)</f>
        <v>145</v>
      </c>
      <c r="BH179" s="2">
        <v>-134</v>
      </c>
      <c r="BI179" s="2">
        <f t="shared" si="2410"/>
        <v>309</v>
      </c>
    </row>
    <row r="180" spans="1:61" x14ac:dyDescent="0.55000000000000004">
      <c r="A180" s="2">
        <v>174</v>
      </c>
      <c r="B180" s="2" t="s">
        <v>230</v>
      </c>
      <c r="C180" s="2" t="s">
        <v>46</v>
      </c>
      <c r="D180" s="2">
        <v>60</v>
      </c>
      <c r="E180" s="2">
        <f t="shared" si="1794"/>
        <v>1</v>
      </c>
      <c r="F180" s="2">
        <v>33</v>
      </c>
      <c r="G180" s="2">
        <f t="shared" ref="G180:I180" si="2411">_xlfn.RANK.EQ(F180, F$7:F$375,0)</f>
        <v>111</v>
      </c>
      <c r="H180" s="3">
        <v>41.823611111111113</v>
      </c>
      <c r="I180" s="2">
        <f t="shared" si="2411"/>
        <v>143</v>
      </c>
      <c r="J180" s="5">
        <v>0.69652777777777775</v>
      </c>
      <c r="K180" s="2">
        <f t="shared" ref="K180:M180" si="2412">_xlfn.RANK.EQ(J180, J$7:J$375,0)</f>
        <v>194</v>
      </c>
      <c r="L180" s="2">
        <v>260</v>
      </c>
      <c r="M180" s="2">
        <f t="shared" si="2412"/>
        <v>174</v>
      </c>
      <c r="N180" s="2">
        <v>98</v>
      </c>
      <c r="O180" s="2">
        <f t="shared" ref="O180:Q180" si="2413">_xlfn.RANK.EQ(N180, N$7:N$375,0)</f>
        <v>172</v>
      </c>
      <c r="P180" s="2">
        <v>244</v>
      </c>
      <c r="Q180" s="2">
        <f t="shared" si="2413"/>
        <v>169</v>
      </c>
      <c r="R180" s="4">
        <v>0.40200000000000002</v>
      </c>
      <c r="S180" s="2">
        <f t="shared" ref="S180:U180" si="2414">_xlfn.RANK.EQ(R180, R$7:R$375,0)</f>
        <v>196</v>
      </c>
      <c r="T180" s="2">
        <v>64</v>
      </c>
      <c r="U180" s="2">
        <f t="shared" si="2414"/>
        <v>150</v>
      </c>
      <c r="V180" s="2">
        <v>143</v>
      </c>
      <c r="W180" s="2">
        <f t="shared" ref="W180:Y180" si="2415">_xlfn.RANK.EQ(V180, V$7:V$375,0)</f>
        <v>142</v>
      </c>
      <c r="X180" s="4">
        <v>0.44800000000000001</v>
      </c>
      <c r="Y180" s="2">
        <f t="shared" si="2415"/>
        <v>245</v>
      </c>
      <c r="Z180" s="2">
        <v>34</v>
      </c>
      <c r="AA180" s="2">
        <f t="shared" ref="AA180:AC180" si="2416">_xlfn.RANK.EQ(Z180, Z$7:Z$375,0)</f>
        <v>159</v>
      </c>
      <c r="AB180" s="2">
        <v>101</v>
      </c>
      <c r="AC180" s="2">
        <f t="shared" si="2416"/>
        <v>166</v>
      </c>
      <c r="AD180" s="4">
        <v>0.33700000000000002</v>
      </c>
      <c r="AE180" s="2">
        <f t="shared" ref="AE180:AG180" si="2417">_xlfn.RANK.EQ(AD180, AD$7:AD$375,0)</f>
        <v>145</v>
      </c>
      <c r="AF180" s="2">
        <v>30</v>
      </c>
      <c r="AG180" s="2">
        <f t="shared" si="2417"/>
        <v>168</v>
      </c>
      <c r="AH180" s="2">
        <v>45</v>
      </c>
      <c r="AI180" s="2">
        <f t="shared" ref="AI180:AK180" si="2418">_xlfn.RANK.EQ(AH180, AH$7:AH$375,0)</f>
        <v>159</v>
      </c>
      <c r="AJ180" s="4">
        <v>0.66700000000000004</v>
      </c>
      <c r="AK180" s="2">
        <f t="shared" si="2418"/>
        <v>227</v>
      </c>
      <c r="AL180" s="2">
        <v>48</v>
      </c>
      <c r="AM180" s="2">
        <f t="shared" ref="AM180:AO180" si="2419">_xlfn.RANK.EQ(AL180, AL$7:AL$375,0)</f>
        <v>95</v>
      </c>
      <c r="AN180" s="2">
        <v>66</v>
      </c>
      <c r="AO180" s="2">
        <f t="shared" si="2419"/>
        <v>169</v>
      </c>
      <c r="AP180" s="2">
        <v>114</v>
      </c>
      <c r="AQ180" s="2">
        <f t="shared" ref="AQ180:AS180" si="2420">_xlfn.RANK.EQ(AP180, AP$7:AP$375,0)</f>
        <v>135</v>
      </c>
      <c r="AR180" s="2">
        <v>151</v>
      </c>
      <c r="AS180" s="2">
        <f t="shared" si="2420"/>
        <v>71</v>
      </c>
      <c r="AT180" s="2">
        <v>64</v>
      </c>
      <c r="AU180" s="2">
        <f t="shared" ref="AU180:AW180" si="2421">_xlfn.RANK.EQ(AT180, AT$7:AT$375,0)</f>
        <v>114</v>
      </c>
      <c r="AV180" s="2">
        <v>59</v>
      </c>
      <c r="AW180" s="2">
        <f t="shared" si="2421"/>
        <v>34</v>
      </c>
      <c r="AX180" s="2">
        <v>9</v>
      </c>
      <c r="AY180" s="2">
        <f t="shared" ref="AY180:BA180" si="2422">_xlfn.RANK.EQ(AX180, AX$7:AX$375,0)</f>
        <v>110</v>
      </c>
      <c r="AZ180" s="2">
        <v>14</v>
      </c>
      <c r="BA180" s="2">
        <f t="shared" si="2422"/>
        <v>104</v>
      </c>
      <c r="BB180" s="2">
        <v>122</v>
      </c>
      <c r="BC180" s="2">
        <f t="shared" ref="BC180:BE180" si="2423">_xlfn.RANK.EQ(BB180, BB$7:BB$375,0)</f>
        <v>74</v>
      </c>
      <c r="BD180" s="2">
        <v>61</v>
      </c>
      <c r="BE180" s="2">
        <f t="shared" si="2423"/>
        <v>153</v>
      </c>
      <c r="BF180" s="2">
        <v>293</v>
      </c>
      <c r="BG180" s="2">
        <f t="shared" ref="BG180:BI180" si="2424">_xlfn.RANK.EQ(BF180, BF$7:BF$375,0)</f>
        <v>150</v>
      </c>
      <c r="BH180" s="2">
        <v>-20</v>
      </c>
      <c r="BI180" s="2">
        <f t="shared" si="2424"/>
        <v>194</v>
      </c>
    </row>
    <row r="181" spans="1:61" x14ac:dyDescent="0.55000000000000004">
      <c r="A181" s="2">
        <v>175</v>
      </c>
      <c r="B181" s="2" t="s">
        <v>231</v>
      </c>
      <c r="C181" s="2" t="s">
        <v>79</v>
      </c>
      <c r="D181" s="2">
        <v>60</v>
      </c>
      <c r="E181" s="2">
        <f t="shared" si="1794"/>
        <v>1</v>
      </c>
      <c r="F181" s="2">
        <v>43</v>
      </c>
      <c r="G181" s="2">
        <f t="shared" ref="G181:I181" si="2425">_xlfn.RANK.EQ(F181, F$7:F$375,0)</f>
        <v>73</v>
      </c>
      <c r="H181" s="3">
        <v>49.067361111111111</v>
      </c>
      <c r="I181" s="2">
        <f t="shared" si="2425"/>
        <v>112</v>
      </c>
      <c r="J181" s="5">
        <v>0.81736111111111109</v>
      </c>
      <c r="K181" s="2">
        <f t="shared" ref="K181:M181" si="2426">_xlfn.RANK.EQ(J181, J$7:J$375,0)</f>
        <v>157</v>
      </c>
      <c r="L181" s="2">
        <v>257</v>
      </c>
      <c r="M181" s="2">
        <f t="shared" si="2426"/>
        <v>175</v>
      </c>
      <c r="N181" s="2">
        <v>88</v>
      </c>
      <c r="O181" s="2">
        <f t="shared" ref="O181:Q181" si="2427">_xlfn.RANK.EQ(N181, N$7:N$375,0)</f>
        <v>182</v>
      </c>
      <c r="P181" s="2">
        <v>304</v>
      </c>
      <c r="Q181" s="2">
        <f t="shared" si="2427"/>
        <v>137</v>
      </c>
      <c r="R181" s="4">
        <v>0.28899999999999998</v>
      </c>
      <c r="S181" s="2">
        <f t="shared" ref="S181:U181" si="2428">_xlfn.RANK.EQ(R181, R$7:R$375,0)</f>
        <v>339</v>
      </c>
      <c r="T181" s="2">
        <v>35</v>
      </c>
      <c r="U181" s="2">
        <f t="shared" si="2428"/>
        <v>209</v>
      </c>
      <c r="V181" s="2">
        <v>117</v>
      </c>
      <c r="W181" s="2">
        <f t="shared" ref="W181:Y181" si="2429">_xlfn.RANK.EQ(V181, V$7:V$375,0)</f>
        <v>164</v>
      </c>
      <c r="X181" s="4">
        <v>0.29899999999999999</v>
      </c>
      <c r="Y181" s="2">
        <f t="shared" si="2429"/>
        <v>345</v>
      </c>
      <c r="Z181" s="2">
        <v>53</v>
      </c>
      <c r="AA181" s="2">
        <f t="shared" ref="AA181:AC181" si="2430">_xlfn.RANK.EQ(Z181, Z$7:Z$375,0)</f>
        <v>113</v>
      </c>
      <c r="AB181" s="2">
        <v>187</v>
      </c>
      <c r="AC181" s="2">
        <f t="shared" si="2430"/>
        <v>86</v>
      </c>
      <c r="AD181" s="4">
        <v>0.28299999999999997</v>
      </c>
      <c r="AE181" s="2">
        <f t="shared" ref="AE181:AG181" si="2431">_xlfn.RANK.EQ(AD181, AD$7:AD$375,0)</f>
        <v>240</v>
      </c>
      <c r="AF181" s="2">
        <v>28</v>
      </c>
      <c r="AG181" s="2">
        <f t="shared" si="2431"/>
        <v>182</v>
      </c>
      <c r="AH181" s="2">
        <v>40</v>
      </c>
      <c r="AI181" s="2">
        <f t="shared" ref="AI181:AK181" si="2432">_xlfn.RANK.EQ(AH181, AH$7:AH$375,0)</f>
        <v>172</v>
      </c>
      <c r="AJ181" s="4">
        <v>0.7</v>
      </c>
      <c r="AK181" s="2">
        <f t="shared" si="2432"/>
        <v>202</v>
      </c>
      <c r="AL181" s="2">
        <v>36</v>
      </c>
      <c r="AM181" s="2">
        <f t="shared" ref="AM181:AO181" si="2433">_xlfn.RANK.EQ(AL181, AL$7:AL$375,0)</f>
        <v>127</v>
      </c>
      <c r="AN181" s="2">
        <v>46</v>
      </c>
      <c r="AO181" s="2">
        <f t="shared" si="2433"/>
        <v>206</v>
      </c>
      <c r="AP181" s="2">
        <v>82</v>
      </c>
      <c r="AQ181" s="2">
        <f t="shared" ref="AQ181:AS181" si="2434">_xlfn.RANK.EQ(AP181, AP$7:AP$375,0)</f>
        <v>183</v>
      </c>
      <c r="AR181" s="2">
        <v>64</v>
      </c>
      <c r="AS181" s="2">
        <f t="shared" si="2434"/>
        <v>190</v>
      </c>
      <c r="AT181" s="2">
        <v>42</v>
      </c>
      <c r="AU181" s="2">
        <f t="shared" ref="AU181:AW181" si="2435">_xlfn.RANK.EQ(AT181, AT$7:AT$375,0)</f>
        <v>166</v>
      </c>
      <c r="AV181" s="2">
        <v>27</v>
      </c>
      <c r="AW181" s="2">
        <f t="shared" si="2435"/>
        <v>163</v>
      </c>
      <c r="AX181" s="2">
        <v>4</v>
      </c>
      <c r="AY181" s="2">
        <f t="shared" ref="AY181:BA181" si="2436">_xlfn.RANK.EQ(AX181, AX$7:AX$375,0)</f>
        <v>186</v>
      </c>
      <c r="AZ181" s="2">
        <v>15</v>
      </c>
      <c r="BA181" s="2">
        <f t="shared" si="2436"/>
        <v>87</v>
      </c>
      <c r="BB181" s="2">
        <v>130</v>
      </c>
      <c r="BC181" s="2">
        <f t="shared" ref="BC181:BE181" si="2437">_xlfn.RANK.EQ(BB181, BB$7:BB$375,0)</f>
        <v>56</v>
      </c>
      <c r="BD181" s="2">
        <v>41</v>
      </c>
      <c r="BE181" s="2">
        <f t="shared" si="2437"/>
        <v>198</v>
      </c>
      <c r="BF181" s="2">
        <v>60</v>
      </c>
      <c r="BG181" s="2">
        <f t="shared" ref="BG181:BI181" si="2438">_xlfn.RANK.EQ(BF181, BF$7:BF$375,0)</f>
        <v>270</v>
      </c>
      <c r="BH181" s="2">
        <v>-432</v>
      </c>
      <c r="BI181" s="2">
        <f t="shared" si="2438"/>
        <v>368</v>
      </c>
    </row>
    <row r="182" spans="1:61" x14ac:dyDescent="0.55000000000000004">
      <c r="A182" s="2">
        <v>176</v>
      </c>
      <c r="B182" s="2" t="s">
        <v>232</v>
      </c>
      <c r="C182" s="2" t="s">
        <v>32</v>
      </c>
      <c r="D182" s="2">
        <v>55</v>
      </c>
      <c r="E182" s="2">
        <f t="shared" si="1794"/>
        <v>139</v>
      </c>
      <c r="F182" s="2">
        <v>3</v>
      </c>
      <c r="G182" s="2">
        <f t="shared" ref="G182:I182" si="2439">_xlfn.RANK.EQ(F182, F$7:F$375,0)</f>
        <v>248</v>
      </c>
      <c r="H182" s="3">
        <v>34.564583333333331</v>
      </c>
      <c r="I182" s="2">
        <f t="shared" si="2439"/>
        <v>175</v>
      </c>
      <c r="J182" s="5">
        <v>0.62777777777777777</v>
      </c>
      <c r="K182" s="2">
        <f t="shared" ref="K182:M182" si="2440">_xlfn.RANK.EQ(J182, J$7:J$375,0)</f>
        <v>217</v>
      </c>
      <c r="L182" s="2">
        <v>255</v>
      </c>
      <c r="M182" s="2">
        <f t="shared" si="2440"/>
        <v>176</v>
      </c>
      <c r="N182" s="2">
        <v>98</v>
      </c>
      <c r="O182" s="2">
        <f t="shared" ref="O182:Q182" si="2441">_xlfn.RANK.EQ(N182, N$7:N$375,0)</f>
        <v>172</v>
      </c>
      <c r="P182" s="2">
        <v>250</v>
      </c>
      <c r="Q182" s="2">
        <f t="shared" si="2441"/>
        <v>164</v>
      </c>
      <c r="R182" s="4">
        <v>0.39200000000000002</v>
      </c>
      <c r="S182" s="2">
        <f t="shared" ref="S182:U182" si="2442">_xlfn.RANK.EQ(R182, R$7:R$375,0)</f>
        <v>220</v>
      </c>
      <c r="T182" s="2">
        <v>60</v>
      </c>
      <c r="U182" s="2">
        <f t="shared" si="2442"/>
        <v>155</v>
      </c>
      <c r="V182" s="2">
        <v>117</v>
      </c>
      <c r="W182" s="2">
        <f t="shared" ref="W182:Y182" si="2443">_xlfn.RANK.EQ(V182, V$7:V$375,0)</f>
        <v>164</v>
      </c>
      <c r="X182" s="4">
        <v>0.51300000000000001</v>
      </c>
      <c r="Y182" s="2">
        <f t="shared" si="2443"/>
        <v>161</v>
      </c>
      <c r="Z182" s="2">
        <v>38</v>
      </c>
      <c r="AA182" s="2">
        <f t="shared" ref="AA182:AC182" si="2444">_xlfn.RANK.EQ(Z182, Z$7:Z$375,0)</f>
        <v>149</v>
      </c>
      <c r="AB182" s="2">
        <v>133</v>
      </c>
      <c r="AC182" s="2">
        <f t="shared" si="2444"/>
        <v>138</v>
      </c>
      <c r="AD182" s="4">
        <v>0.28599999999999998</v>
      </c>
      <c r="AE182" s="2">
        <f t="shared" ref="AE182:AG182" si="2445">_xlfn.RANK.EQ(AD182, AD$7:AD$375,0)</f>
        <v>236</v>
      </c>
      <c r="AF182" s="2">
        <v>21</v>
      </c>
      <c r="AG182" s="2">
        <f t="shared" si="2445"/>
        <v>206</v>
      </c>
      <c r="AH182" s="2">
        <v>34</v>
      </c>
      <c r="AI182" s="2">
        <f t="shared" ref="AI182:AK182" si="2446">_xlfn.RANK.EQ(AH182, AH$7:AH$375,0)</f>
        <v>199</v>
      </c>
      <c r="AJ182" s="4">
        <v>0.61799999999999999</v>
      </c>
      <c r="AK182" s="2">
        <f t="shared" si="2446"/>
        <v>264</v>
      </c>
      <c r="AL182" s="2">
        <v>35</v>
      </c>
      <c r="AM182" s="2">
        <f t="shared" ref="AM182:AO182" si="2447">_xlfn.RANK.EQ(AL182, AL$7:AL$375,0)</f>
        <v>129</v>
      </c>
      <c r="AN182" s="2">
        <v>67</v>
      </c>
      <c r="AO182" s="2">
        <f t="shared" si="2447"/>
        <v>168</v>
      </c>
      <c r="AP182" s="2">
        <v>102</v>
      </c>
      <c r="AQ182" s="2">
        <f t="shared" ref="AQ182:AS182" si="2448">_xlfn.RANK.EQ(AP182, AP$7:AP$375,0)</f>
        <v>158</v>
      </c>
      <c r="AR182" s="2">
        <v>75</v>
      </c>
      <c r="AS182" s="2">
        <f t="shared" si="2448"/>
        <v>170</v>
      </c>
      <c r="AT182" s="2">
        <v>59</v>
      </c>
      <c r="AU182" s="2">
        <f t="shared" ref="AU182:AW182" si="2449">_xlfn.RANK.EQ(AT182, AT$7:AT$375,0)</f>
        <v>124</v>
      </c>
      <c r="AV182" s="2">
        <v>28</v>
      </c>
      <c r="AW182" s="2">
        <f t="shared" si="2449"/>
        <v>156</v>
      </c>
      <c r="AX182" s="2">
        <v>7</v>
      </c>
      <c r="AY182" s="2">
        <f t="shared" ref="AY182:BA182" si="2450">_xlfn.RANK.EQ(AX182, AX$7:AX$375,0)</f>
        <v>138</v>
      </c>
      <c r="AZ182" s="2">
        <v>7</v>
      </c>
      <c r="BA182" s="2">
        <f t="shared" si="2450"/>
        <v>195</v>
      </c>
      <c r="BB182" s="2">
        <v>81</v>
      </c>
      <c r="BC182" s="2">
        <f t="shared" ref="BC182:BE182" si="2451">_xlfn.RANK.EQ(BB182, BB$7:BB$375,0)</f>
        <v>190</v>
      </c>
      <c r="BD182" s="2">
        <v>40</v>
      </c>
      <c r="BE182" s="2">
        <f t="shared" si="2451"/>
        <v>201</v>
      </c>
      <c r="BF182" s="2">
        <v>195</v>
      </c>
      <c r="BG182" s="2">
        <f t="shared" ref="BG182:BI182" si="2452">_xlfn.RANK.EQ(BF182, BF$7:BF$375,0)</f>
        <v>192</v>
      </c>
      <c r="BH182" s="2">
        <v>82</v>
      </c>
      <c r="BI182" s="2">
        <f t="shared" si="2452"/>
        <v>86</v>
      </c>
    </row>
    <row r="183" spans="1:61" x14ac:dyDescent="0.55000000000000004">
      <c r="A183" s="2">
        <v>177</v>
      </c>
      <c r="B183" s="2" t="s">
        <v>233</v>
      </c>
      <c r="C183" s="2" t="s">
        <v>69</v>
      </c>
      <c r="D183" s="2">
        <v>60</v>
      </c>
      <c r="E183" s="2">
        <f t="shared" si="1794"/>
        <v>1</v>
      </c>
      <c r="F183" s="2">
        <v>21</v>
      </c>
      <c r="G183" s="2">
        <f t="shared" ref="G183:I183" si="2453">_xlfn.RANK.EQ(F183, F$7:F$375,0)</f>
        <v>146</v>
      </c>
      <c r="H183" s="3">
        <v>36.479166666666664</v>
      </c>
      <c r="I183" s="2">
        <f t="shared" si="2453"/>
        <v>167</v>
      </c>
      <c r="J183" s="5">
        <v>0.60763888888888884</v>
      </c>
      <c r="K183" s="2">
        <f t="shared" ref="K183:M183" si="2454">_xlfn.RANK.EQ(J183, J$7:J$375,0)</f>
        <v>228</v>
      </c>
      <c r="L183" s="2">
        <v>253</v>
      </c>
      <c r="M183" s="2">
        <f t="shared" si="2454"/>
        <v>177</v>
      </c>
      <c r="N183" s="2">
        <v>103</v>
      </c>
      <c r="O183" s="2">
        <f t="shared" ref="O183:Q183" si="2455">_xlfn.RANK.EQ(N183, N$7:N$375,0)</f>
        <v>161</v>
      </c>
      <c r="P183" s="2">
        <v>235</v>
      </c>
      <c r="Q183" s="2">
        <f t="shared" si="2455"/>
        <v>174</v>
      </c>
      <c r="R183" s="4">
        <v>0.438</v>
      </c>
      <c r="S183" s="2">
        <f t="shared" ref="S183:U183" si="2456">_xlfn.RANK.EQ(R183, R$7:R$375,0)</f>
        <v>136</v>
      </c>
      <c r="T183" s="2">
        <v>78</v>
      </c>
      <c r="U183" s="2">
        <f t="shared" si="2456"/>
        <v>124</v>
      </c>
      <c r="V183" s="2">
        <v>151</v>
      </c>
      <c r="W183" s="2">
        <f t="shared" ref="W183:Y183" si="2457">_xlfn.RANK.EQ(V183, V$7:V$375,0)</f>
        <v>134</v>
      </c>
      <c r="X183" s="4">
        <v>0.51700000000000002</v>
      </c>
      <c r="Y183" s="2">
        <f t="shared" si="2457"/>
        <v>156</v>
      </c>
      <c r="Z183" s="2">
        <v>25</v>
      </c>
      <c r="AA183" s="2">
        <f t="shared" ref="AA183:AC183" si="2458">_xlfn.RANK.EQ(Z183, Z$7:Z$375,0)</f>
        <v>196</v>
      </c>
      <c r="AB183" s="2">
        <v>84</v>
      </c>
      <c r="AC183" s="2">
        <f t="shared" si="2458"/>
        <v>189</v>
      </c>
      <c r="AD183" s="4">
        <v>0.29799999999999999</v>
      </c>
      <c r="AE183" s="2">
        <f t="shared" ref="AE183:AG183" si="2459">_xlfn.RANK.EQ(AD183, AD$7:AD$375,0)</f>
        <v>213</v>
      </c>
      <c r="AF183" s="2">
        <v>22</v>
      </c>
      <c r="AG183" s="2">
        <f t="shared" si="2459"/>
        <v>201</v>
      </c>
      <c r="AH183" s="2">
        <v>36</v>
      </c>
      <c r="AI183" s="2">
        <f t="shared" ref="AI183:AK183" si="2460">_xlfn.RANK.EQ(AH183, AH$7:AH$375,0)</f>
        <v>193</v>
      </c>
      <c r="AJ183" s="4">
        <v>0.61099999999999999</v>
      </c>
      <c r="AK183" s="2">
        <f t="shared" si="2460"/>
        <v>267</v>
      </c>
      <c r="AL183" s="2">
        <v>35</v>
      </c>
      <c r="AM183" s="2">
        <f t="shared" ref="AM183:AO183" si="2461">_xlfn.RANK.EQ(AL183, AL$7:AL$375,0)</f>
        <v>129</v>
      </c>
      <c r="AN183" s="2">
        <v>33</v>
      </c>
      <c r="AO183" s="2">
        <f t="shared" si="2461"/>
        <v>246</v>
      </c>
      <c r="AP183" s="2">
        <v>68</v>
      </c>
      <c r="AQ183" s="2">
        <f t="shared" ref="AQ183:AS183" si="2462">_xlfn.RANK.EQ(AP183, AP$7:AP$375,0)</f>
        <v>209</v>
      </c>
      <c r="AR183" s="2">
        <v>44</v>
      </c>
      <c r="AS183" s="2">
        <f t="shared" si="2462"/>
        <v>229</v>
      </c>
      <c r="AT183" s="2">
        <v>27</v>
      </c>
      <c r="AU183" s="2">
        <f t="shared" ref="AU183:AW183" si="2463">_xlfn.RANK.EQ(AT183, AT$7:AT$375,0)</f>
        <v>219</v>
      </c>
      <c r="AV183" s="2">
        <v>16</v>
      </c>
      <c r="AW183" s="2">
        <f t="shared" si="2463"/>
        <v>233</v>
      </c>
      <c r="AX183" s="2">
        <v>5</v>
      </c>
      <c r="AY183" s="2">
        <f t="shared" ref="AY183:BA183" si="2464">_xlfn.RANK.EQ(AX183, AX$7:AX$375,0)</f>
        <v>169</v>
      </c>
      <c r="AZ183" s="2">
        <v>14</v>
      </c>
      <c r="BA183" s="2">
        <f t="shared" si="2464"/>
        <v>104</v>
      </c>
      <c r="BB183" s="2">
        <v>127</v>
      </c>
      <c r="BC183" s="2">
        <f t="shared" ref="BC183:BE183" si="2465">_xlfn.RANK.EQ(BB183, BB$7:BB$375,0)</f>
        <v>63</v>
      </c>
      <c r="BD183" s="2">
        <v>36</v>
      </c>
      <c r="BE183" s="2">
        <f t="shared" si="2465"/>
        <v>216</v>
      </c>
      <c r="BF183" s="2">
        <v>108</v>
      </c>
      <c r="BG183" s="2">
        <f t="shared" ref="BG183:BI183" si="2466">_xlfn.RANK.EQ(BF183, BF$7:BF$375,0)</f>
        <v>238</v>
      </c>
      <c r="BH183" s="2">
        <v>-19</v>
      </c>
      <c r="BI183" s="2">
        <f t="shared" si="2466"/>
        <v>193</v>
      </c>
    </row>
    <row r="184" spans="1:61" x14ac:dyDescent="0.55000000000000004">
      <c r="A184" s="2">
        <v>178</v>
      </c>
      <c r="B184" s="2" t="s">
        <v>234</v>
      </c>
      <c r="C184" s="2" t="s">
        <v>38</v>
      </c>
      <c r="D184" s="2">
        <v>28</v>
      </c>
      <c r="E184" s="2">
        <f t="shared" si="1794"/>
        <v>289</v>
      </c>
      <c r="F184" s="2">
        <v>16</v>
      </c>
      <c r="G184" s="2">
        <f t="shared" ref="G184:I184" si="2467">_xlfn.RANK.EQ(F184, F$7:F$375,0)</f>
        <v>173</v>
      </c>
      <c r="H184" s="3">
        <v>23.356944444444444</v>
      </c>
      <c r="I184" s="2">
        <f t="shared" si="2467"/>
        <v>233</v>
      </c>
      <c r="J184" s="5">
        <v>0.83402777777777781</v>
      </c>
      <c r="K184" s="2">
        <f t="shared" ref="K184:M184" si="2468">_xlfn.RANK.EQ(J184, J$7:J$375,0)</f>
        <v>151</v>
      </c>
      <c r="L184" s="2">
        <v>247</v>
      </c>
      <c r="M184" s="2">
        <f t="shared" si="2468"/>
        <v>178</v>
      </c>
      <c r="N184" s="2">
        <v>86</v>
      </c>
      <c r="O184" s="2">
        <f t="shared" ref="O184:Q184" si="2469">_xlfn.RANK.EQ(N184, N$7:N$375,0)</f>
        <v>184</v>
      </c>
      <c r="P184" s="2">
        <v>208</v>
      </c>
      <c r="Q184" s="2">
        <f t="shared" si="2469"/>
        <v>193</v>
      </c>
      <c r="R184" s="4">
        <v>0.41299999999999998</v>
      </c>
      <c r="S184" s="2">
        <f t="shared" ref="S184:U184" si="2470">_xlfn.RANK.EQ(R184, R$7:R$375,0)</f>
        <v>177</v>
      </c>
      <c r="T184" s="2">
        <v>39</v>
      </c>
      <c r="U184" s="2">
        <f t="shared" si="2470"/>
        <v>200</v>
      </c>
      <c r="V184" s="2">
        <v>66</v>
      </c>
      <c r="W184" s="2">
        <f t="shared" ref="W184:Y184" si="2471">_xlfn.RANK.EQ(V184, V$7:V$375,0)</f>
        <v>221</v>
      </c>
      <c r="X184" s="4">
        <v>0.59099999999999997</v>
      </c>
      <c r="Y184" s="2">
        <f t="shared" si="2471"/>
        <v>61</v>
      </c>
      <c r="Z184" s="2">
        <v>47</v>
      </c>
      <c r="AA184" s="2">
        <f t="shared" ref="AA184:AC184" si="2472">_xlfn.RANK.EQ(Z184, Z$7:Z$375,0)</f>
        <v>128</v>
      </c>
      <c r="AB184" s="2">
        <v>142</v>
      </c>
      <c r="AC184" s="2">
        <f t="shared" si="2472"/>
        <v>127</v>
      </c>
      <c r="AD184" s="4">
        <v>0.33100000000000002</v>
      </c>
      <c r="AE184" s="2">
        <f t="shared" ref="AE184:AG184" si="2473">_xlfn.RANK.EQ(AD184, AD$7:AD$375,0)</f>
        <v>161</v>
      </c>
      <c r="AF184" s="2">
        <v>28</v>
      </c>
      <c r="AG184" s="2">
        <f t="shared" si="2473"/>
        <v>182</v>
      </c>
      <c r="AH184" s="2">
        <v>35</v>
      </c>
      <c r="AI184" s="2">
        <f t="shared" ref="AI184:AK184" si="2474">_xlfn.RANK.EQ(AH184, AH$7:AH$375,0)</f>
        <v>194</v>
      </c>
      <c r="AJ184" s="4">
        <v>0.8</v>
      </c>
      <c r="AK184" s="2">
        <f t="shared" si="2474"/>
        <v>85</v>
      </c>
      <c r="AL184" s="2">
        <v>10</v>
      </c>
      <c r="AM184" s="2">
        <f t="shared" ref="AM184:AO184" si="2475">_xlfn.RANK.EQ(AL184, AL$7:AL$375,0)</f>
        <v>276</v>
      </c>
      <c r="AN184" s="2">
        <v>36</v>
      </c>
      <c r="AO184" s="2">
        <f t="shared" si="2475"/>
        <v>236</v>
      </c>
      <c r="AP184" s="2">
        <v>46</v>
      </c>
      <c r="AQ184" s="2">
        <f t="shared" ref="AQ184:AS184" si="2476">_xlfn.RANK.EQ(AP184, AP$7:AP$375,0)</f>
        <v>256</v>
      </c>
      <c r="AR184" s="2">
        <v>144</v>
      </c>
      <c r="AS184" s="2">
        <f t="shared" si="2476"/>
        <v>77</v>
      </c>
      <c r="AT184" s="2">
        <v>34</v>
      </c>
      <c r="AU184" s="2">
        <f t="shared" ref="AU184:AW184" si="2477">_xlfn.RANK.EQ(AT184, AT$7:AT$375,0)</f>
        <v>196</v>
      </c>
      <c r="AV184" s="2">
        <v>31</v>
      </c>
      <c r="AW184" s="2">
        <f t="shared" si="2477"/>
        <v>139</v>
      </c>
      <c r="AX184" s="2">
        <v>1</v>
      </c>
      <c r="AY184" s="2">
        <f t="shared" ref="AY184:BA184" si="2478">_xlfn.RANK.EQ(AX184, AX$7:AX$375,0)</f>
        <v>265</v>
      </c>
      <c r="AZ184" s="2">
        <v>8</v>
      </c>
      <c r="BA184" s="2">
        <f t="shared" si="2478"/>
        <v>181</v>
      </c>
      <c r="BB184" s="2">
        <v>55</v>
      </c>
      <c r="BC184" s="2">
        <f t="shared" ref="BC184:BE184" si="2479">_xlfn.RANK.EQ(BB184, BB$7:BB$375,0)</f>
        <v>257</v>
      </c>
      <c r="BD184" s="2">
        <v>57</v>
      </c>
      <c r="BE184" s="2">
        <f t="shared" si="2479"/>
        <v>162</v>
      </c>
      <c r="BF184" s="2">
        <v>300</v>
      </c>
      <c r="BG184" s="2">
        <f t="shared" ref="BG184:BI184" si="2480">_xlfn.RANK.EQ(BF184, BF$7:BF$375,0)</f>
        <v>144</v>
      </c>
      <c r="BH184" s="2">
        <v>113</v>
      </c>
      <c r="BI184" s="2">
        <f t="shared" si="2480"/>
        <v>82</v>
      </c>
    </row>
    <row r="185" spans="1:61" x14ac:dyDescent="0.55000000000000004">
      <c r="A185" s="2">
        <v>179</v>
      </c>
      <c r="B185" s="2" t="s">
        <v>235</v>
      </c>
      <c r="C185" s="2" t="s">
        <v>36</v>
      </c>
      <c r="D185" s="2">
        <v>59</v>
      </c>
      <c r="E185" s="2">
        <f t="shared" si="1794"/>
        <v>58</v>
      </c>
      <c r="F185" s="2">
        <v>0</v>
      </c>
      <c r="G185" s="2">
        <f t="shared" ref="G185:I185" si="2481">_xlfn.RANK.EQ(F185, F$7:F$375,0)</f>
        <v>291</v>
      </c>
      <c r="H185" s="3">
        <v>27.111805555555556</v>
      </c>
      <c r="I185" s="2">
        <f t="shared" si="2481"/>
        <v>221</v>
      </c>
      <c r="J185" s="5">
        <v>0.45902777777777776</v>
      </c>
      <c r="K185" s="2">
        <f t="shared" ref="K185:M185" si="2482">_xlfn.RANK.EQ(J185, J$7:J$375,0)</f>
        <v>261</v>
      </c>
      <c r="L185" s="2">
        <v>246</v>
      </c>
      <c r="M185" s="2">
        <f t="shared" si="2482"/>
        <v>179</v>
      </c>
      <c r="N185" s="2">
        <v>75</v>
      </c>
      <c r="O185" s="2">
        <f t="shared" ref="O185:Q185" si="2483">_xlfn.RANK.EQ(N185, N$7:N$375,0)</f>
        <v>198</v>
      </c>
      <c r="P185" s="2">
        <v>190</v>
      </c>
      <c r="Q185" s="2">
        <f t="shared" si="2483"/>
        <v>202</v>
      </c>
      <c r="R185" s="4">
        <v>0.39500000000000002</v>
      </c>
      <c r="S185" s="2">
        <f t="shared" ref="S185:U185" si="2484">_xlfn.RANK.EQ(R185, R$7:R$375,0)</f>
        <v>211</v>
      </c>
      <c r="T185" s="2">
        <v>27</v>
      </c>
      <c r="U185" s="2">
        <f t="shared" si="2484"/>
        <v>237</v>
      </c>
      <c r="V185" s="2">
        <v>60</v>
      </c>
      <c r="W185" s="2">
        <f t="shared" ref="W185:Y185" si="2485">_xlfn.RANK.EQ(V185, V$7:V$375,0)</f>
        <v>237</v>
      </c>
      <c r="X185" s="4">
        <v>0.45</v>
      </c>
      <c r="Y185" s="2">
        <f t="shared" si="2485"/>
        <v>242</v>
      </c>
      <c r="Z185" s="2">
        <v>48</v>
      </c>
      <c r="AA185" s="2">
        <f t="shared" ref="AA185:AC185" si="2486">_xlfn.RANK.EQ(Z185, Z$7:Z$375,0)</f>
        <v>127</v>
      </c>
      <c r="AB185" s="2">
        <v>130</v>
      </c>
      <c r="AC185" s="2">
        <f t="shared" si="2486"/>
        <v>140</v>
      </c>
      <c r="AD185" s="4">
        <v>0.36899999999999999</v>
      </c>
      <c r="AE185" s="2">
        <f t="shared" ref="AE185:AG185" si="2487">_xlfn.RANK.EQ(AD185, AD$7:AD$375,0)</f>
        <v>83</v>
      </c>
      <c r="AF185" s="2">
        <v>48</v>
      </c>
      <c r="AG185" s="2">
        <f t="shared" si="2487"/>
        <v>132</v>
      </c>
      <c r="AH185" s="2">
        <v>58</v>
      </c>
      <c r="AI185" s="2">
        <f t="shared" ref="AI185:AK185" si="2488">_xlfn.RANK.EQ(AH185, AH$7:AH$375,0)</f>
        <v>143</v>
      </c>
      <c r="AJ185" s="4">
        <v>0.82799999999999996</v>
      </c>
      <c r="AK185" s="2">
        <f t="shared" si="2488"/>
        <v>59</v>
      </c>
      <c r="AL185" s="2">
        <v>9</v>
      </c>
      <c r="AM185" s="2">
        <f t="shared" ref="AM185:AO185" si="2489">_xlfn.RANK.EQ(AL185, AL$7:AL$375,0)</f>
        <v>283</v>
      </c>
      <c r="AN185" s="2">
        <v>21</v>
      </c>
      <c r="AO185" s="2">
        <f t="shared" si="2489"/>
        <v>283</v>
      </c>
      <c r="AP185" s="2">
        <v>30</v>
      </c>
      <c r="AQ185" s="2">
        <f t="shared" ref="AQ185:AS185" si="2490">_xlfn.RANK.EQ(AP185, AP$7:AP$375,0)</f>
        <v>286</v>
      </c>
      <c r="AR185" s="2">
        <v>50</v>
      </c>
      <c r="AS185" s="2">
        <f t="shared" si="2490"/>
        <v>217</v>
      </c>
      <c r="AT185" s="2">
        <v>20</v>
      </c>
      <c r="AU185" s="2">
        <f t="shared" ref="AU185:AW185" si="2491">_xlfn.RANK.EQ(AT185, AT$7:AT$375,0)</f>
        <v>253</v>
      </c>
      <c r="AV185" s="2">
        <v>17</v>
      </c>
      <c r="AW185" s="2">
        <f t="shared" si="2491"/>
        <v>227</v>
      </c>
      <c r="AX185" s="2">
        <v>2</v>
      </c>
      <c r="AY185" s="2">
        <f t="shared" ref="AY185:BA185" si="2492">_xlfn.RANK.EQ(AX185, AX$7:AX$375,0)</f>
        <v>234</v>
      </c>
      <c r="AZ185" s="2">
        <v>4</v>
      </c>
      <c r="BA185" s="2">
        <f t="shared" si="2492"/>
        <v>246</v>
      </c>
      <c r="BB185" s="2">
        <v>122</v>
      </c>
      <c r="BC185" s="2">
        <f t="shared" ref="BC185:BE185" si="2493">_xlfn.RANK.EQ(BB185, BB$7:BB$375,0)</f>
        <v>74</v>
      </c>
      <c r="BD185" s="2">
        <v>55</v>
      </c>
      <c r="BE185" s="2">
        <f t="shared" si="2493"/>
        <v>167</v>
      </c>
      <c r="BF185" s="2">
        <v>129</v>
      </c>
      <c r="BG185" s="2">
        <f t="shared" ref="BG185:BI185" si="2494">_xlfn.RANK.EQ(BF185, BF$7:BF$375,0)</f>
        <v>223</v>
      </c>
      <c r="BH185" s="2">
        <v>-10</v>
      </c>
      <c r="BI185" s="2">
        <f t="shared" si="2494"/>
        <v>170</v>
      </c>
    </row>
    <row r="186" spans="1:61" x14ac:dyDescent="0.55000000000000004">
      <c r="A186" s="2">
        <v>180</v>
      </c>
      <c r="B186" s="2" t="s">
        <v>236</v>
      </c>
      <c r="C186" s="2" t="s">
        <v>91</v>
      </c>
      <c r="D186" s="2">
        <v>43</v>
      </c>
      <c r="E186" s="2">
        <f t="shared" si="1794"/>
        <v>234</v>
      </c>
      <c r="F186" s="2">
        <v>19</v>
      </c>
      <c r="G186" s="2">
        <f t="shared" ref="G186:I186" si="2495">_xlfn.RANK.EQ(F186, F$7:F$375,0)</f>
        <v>155</v>
      </c>
      <c r="H186" s="3">
        <v>28.925694444444446</v>
      </c>
      <c r="I186" s="2">
        <f t="shared" si="2495"/>
        <v>210</v>
      </c>
      <c r="J186" s="5">
        <v>0.67222222222222228</v>
      </c>
      <c r="K186" s="2">
        <f t="shared" ref="K186:M186" si="2496">_xlfn.RANK.EQ(J186, J$7:J$375,0)</f>
        <v>201</v>
      </c>
      <c r="L186" s="2">
        <v>244</v>
      </c>
      <c r="M186" s="2">
        <f t="shared" si="2496"/>
        <v>180</v>
      </c>
      <c r="N186" s="2">
        <v>89</v>
      </c>
      <c r="O186" s="2">
        <f t="shared" ref="O186:Q186" si="2497">_xlfn.RANK.EQ(N186, N$7:N$375,0)</f>
        <v>180</v>
      </c>
      <c r="P186" s="2">
        <v>260</v>
      </c>
      <c r="Q186" s="2">
        <f t="shared" si="2497"/>
        <v>157</v>
      </c>
      <c r="R186" s="4">
        <v>0.34200000000000003</v>
      </c>
      <c r="S186" s="2">
        <f t="shared" ref="S186:U186" si="2498">_xlfn.RANK.EQ(R186, R$7:R$375,0)</f>
        <v>290</v>
      </c>
      <c r="T186" s="2">
        <v>37</v>
      </c>
      <c r="U186" s="2">
        <f t="shared" si="2498"/>
        <v>206</v>
      </c>
      <c r="V186" s="2">
        <v>87</v>
      </c>
      <c r="W186" s="2">
        <f t="shared" ref="W186:Y186" si="2499">_xlfn.RANK.EQ(V186, V$7:V$375,0)</f>
        <v>194</v>
      </c>
      <c r="X186" s="4">
        <v>0.42499999999999999</v>
      </c>
      <c r="Y186" s="2">
        <f t="shared" si="2499"/>
        <v>273</v>
      </c>
      <c r="Z186" s="2">
        <v>52</v>
      </c>
      <c r="AA186" s="2">
        <f t="shared" ref="AA186:AC186" si="2500">_xlfn.RANK.EQ(Z186, Z$7:Z$375,0)</f>
        <v>116</v>
      </c>
      <c r="AB186" s="2">
        <v>173</v>
      </c>
      <c r="AC186" s="2">
        <f t="shared" si="2500"/>
        <v>107</v>
      </c>
      <c r="AD186" s="4">
        <v>0.30099999999999999</v>
      </c>
      <c r="AE186" s="2">
        <f t="shared" ref="AE186:AG186" si="2501">_xlfn.RANK.EQ(AD186, AD$7:AD$375,0)</f>
        <v>209</v>
      </c>
      <c r="AF186" s="2">
        <v>14</v>
      </c>
      <c r="AG186" s="2">
        <f t="shared" si="2501"/>
        <v>244</v>
      </c>
      <c r="AH186" s="2">
        <v>25</v>
      </c>
      <c r="AI186" s="2">
        <f t="shared" ref="AI186:AK186" si="2502">_xlfn.RANK.EQ(AH186, AH$7:AH$375,0)</f>
        <v>230</v>
      </c>
      <c r="AJ186" s="4">
        <v>0.56000000000000005</v>
      </c>
      <c r="AK186" s="2">
        <f t="shared" si="2502"/>
        <v>292</v>
      </c>
      <c r="AL186" s="2">
        <v>18</v>
      </c>
      <c r="AM186" s="2">
        <f t="shared" ref="AM186:AO186" si="2503">_xlfn.RANK.EQ(AL186, AL$7:AL$375,0)</f>
        <v>215</v>
      </c>
      <c r="AN186" s="2">
        <v>35</v>
      </c>
      <c r="AO186" s="2">
        <f t="shared" si="2503"/>
        <v>240</v>
      </c>
      <c r="AP186" s="2">
        <v>53</v>
      </c>
      <c r="AQ186" s="2">
        <f t="shared" ref="AQ186:AS186" si="2504">_xlfn.RANK.EQ(AP186, AP$7:AP$375,0)</f>
        <v>239</v>
      </c>
      <c r="AR186" s="2">
        <v>117</v>
      </c>
      <c r="AS186" s="2">
        <f t="shared" si="2504"/>
        <v>99</v>
      </c>
      <c r="AT186" s="2">
        <v>54</v>
      </c>
      <c r="AU186" s="2">
        <f t="shared" ref="AU186:AW186" si="2505">_xlfn.RANK.EQ(AT186, AT$7:AT$375,0)</f>
        <v>137</v>
      </c>
      <c r="AV186" s="2">
        <v>25</v>
      </c>
      <c r="AW186" s="2">
        <f t="shared" si="2505"/>
        <v>175</v>
      </c>
      <c r="AX186" s="2">
        <v>2</v>
      </c>
      <c r="AY186" s="2">
        <f t="shared" ref="AY186:BA186" si="2506">_xlfn.RANK.EQ(AX186, AX$7:AX$375,0)</f>
        <v>234</v>
      </c>
      <c r="AZ186" s="2">
        <v>12</v>
      </c>
      <c r="BA186" s="2">
        <f t="shared" si="2506"/>
        <v>124</v>
      </c>
      <c r="BB186" s="2">
        <v>85</v>
      </c>
      <c r="BC186" s="2">
        <f t="shared" ref="BC186:BE186" si="2507">_xlfn.RANK.EQ(BB186, BB$7:BB$375,0)</f>
        <v>176</v>
      </c>
      <c r="BD186" s="2">
        <v>25</v>
      </c>
      <c r="BE186" s="2">
        <f t="shared" si="2507"/>
        <v>250</v>
      </c>
      <c r="BF186" s="2">
        <v>132</v>
      </c>
      <c r="BG186" s="2">
        <f t="shared" ref="BG186:BI186" si="2508">_xlfn.RANK.EQ(BF186, BF$7:BF$375,0)</f>
        <v>220</v>
      </c>
      <c r="BH186" s="2">
        <v>-106</v>
      </c>
      <c r="BI186" s="2">
        <f t="shared" si="2508"/>
        <v>285</v>
      </c>
    </row>
    <row r="187" spans="1:61" x14ac:dyDescent="0.55000000000000004">
      <c r="A187" s="2">
        <v>181</v>
      </c>
      <c r="B187" s="2" t="s">
        <v>237</v>
      </c>
      <c r="C187" s="2" t="s">
        <v>106</v>
      </c>
      <c r="D187" s="2">
        <v>18</v>
      </c>
      <c r="E187" s="2">
        <f t="shared" si="1794"/>
        <v>330</v>
      </c>
      <c r="F187" s="2">
        <v>17</v>
      </c>
      <c r="G187" s="2">
        <f t="shared" ref="G187:I187" si="2509">_xlfn.RANK.EQ(F187, F$7:F$375,0)</f>
        <v>166</v>
      </c>
      <c r="H187" s="3">
        <v>21.18611111111111</v>
      </c>
      <c r="I187" s="2">
        <f t="shared" si="2509"/>
        <v>247</v>
      </c>
      <c r="J187" s="3">
        <v>1.1763888888888889</v>
      </c>
      <c r="K187" s="2">
        <f t="shared" ref="K187:M187" si="2510">_xlfn.RANK.EQ(J187, J$7:J$375,0)</f>
        <v>33</v>
      </c>
      <c r="L187" s="2">
        <v>242</v>
      </c>
      <c r="M187" s="2">
        <f t="shared" si="2510"/>
        <v>181</v>
      </c>
      <c r="N187" s="2">
        <v>89</v>
      </c>
      <c r="O187" s="2">
        <f t="shared" ref="O187:Q187" si="2511">_xlfn.RANK.EQ(N187, N$7:N$375,0)</f>
        <v>180</v>
      </c>
      <c r="P187" s="2">
        <v>191</v>
      </c>
      <c r="Q187" s="2">
        <f t="shared" si="2511"/>
        <v>201</v>
      </c>
      <c r="R187" s="4">
        <v>0.46600000000000003</v>
      </c>
      <c r="S187" s="2">
        <f t="shared" ref="S187:U187" si="2512">_xlfn.RANK.EQ(R187, R$7:R$375,0)</f>
        <v>96</v>
      </c>
      <c r="T187" s="2">
        <v>79</v>
      </c>
      <c r="U187" s="2">
        <f t="shared" si="2512"/>
        <v>121</v>
      </c>
      <c r="V187" s="2">
        <v>153</v>
      </c>
      <c r="W187" s="2">
        <f t="shared" ref="W187:Y187" si="2513">_xlfn.RANK.EQ(V187, V$7:V$375,0)</f>
        <v>132</v>
      </c>
      <c r="X187" s="4">
        <v>0.51600000000000001</v>
      </c>
      <c r="Y187" s="2">
        <f t="shared" si="2513"/>
        <v>157</v>
      </c>
      <c r="Z187" s="2">
        <v>10</v>
      </c>
      <c r="AA187" s="2">
        <f t="shared" ref="AA187:AC187" si="2514">_xlfn.RANK.EQ(Z187, Z$7:Z$375,0)</f>
        <v>254</v>
      </c>
      <c r="AB187" s="2">
        <v>38</v>
      </c>
      <c r="AC187" s="2">
        <f t="shared" si="2514"/>
        <v>254</v>
      </c>
      <c r="AD187" s="4">
        <v>0.26300000000000001</v>
      </c>
      <c r="AE187" s="2">
        <f t="shared" ref="AE187:AG187" si="2515">_xlfn.RANK.EQ(AD187, AD$7:AD$375,0)</f>
        <v>262</v>
      </c>
      <c r="AF187" s="2">
        <v>54</v>
      </c>
      <c r="AG187" s="2">
        <f t="shared" si="2515"/>
        <v>122</v>
      </c>
      <c r="AH187" s="2">
        <v>67</v>
      </c>
      <c r="AI187" s="2">
        <f t="shared" ref="AI187:AK187" si="2516">_xlfn.RANK.EQ(AH187, AH$7:AH$375,0)</f>
        <v>130</v>
      </c>
      <c r="AJ187" s="4">
        <v>0.80600000000000005</v>
      </c>
      <c r="AK187" s="2">
        <f t="shared" si="2516"/>
        <v>80</v>
      </c>
      <c r="AL187" s="2">
        <v>49</v>
      </c>
      <c r="AM187" s="2">
        <f t="shared" ref="AM187:AO187" si="2517">_xlfn.RANK.EQ(AL187, AL$7:AL$375,0)</f>
        <v>92</v>
      </c>
      <c r="AN187" s="2">
        <v>79</v>
      </c>
      <c r="AO187" s="2">
        <f t="shared" si="2517"/>
        <v>146</v>
      </c>
      <c r="AP187" s="2">
        <v>128</v>
      </c>
      <c r="AQ187" s="2">
        <f t="shared" ref="AQ187:AS187" si="2518">_xlfn.RANK.EQ(AP187, AP$7:AP$375,0)</f>
        <v>123</v>
      </c>
      <c r="AR187" s="2">
        <v>54</v>
      </c>
      <c r="AS187" s="2">
        <f t="shared" si="2518"/>
        <v>208</v>
      </c>
      <c r="AT187" s="2">
        <v>40</v>
      </c>
      <c r="AU187" s="2">
        <f t="shared" ref="AU187:AW187" si="2519">_xlfn.RANK.EQ(AT187, AT$7:AT$375,0)</f>
        <v>177</v>
      </c>
      <c r="AV187" s="2">
        <v>18</v>
      </c>
      <c r="AW187" s="2">
        <f t="shared" si="2519"/>
        <v>221</v>
      </c>
      <c r="AX187" s="2">
        <v>9</v>
      </c>
      <c r="AY187" s="2">
        <f t="shared" ref="AY187:BA187" si="2520">_xlfn.RANK.EQ(AX187, AX$7:AX$375,0)</f>
        <v>110</v>
      </c>
      <c r="AZ187" s="2">
        <v>5</v>
      </c>
      <c r="BA187" s="2">
        <f t="shared" si="2520"/>
        <v>227</v>
      </c>
      <c r="BB187" s="2">
        <v>61</v>
      </c>
      <c r="BC187" s="2">
        <f t="shared" ref="BC187:BE187" si="2521">_xlfn.RANK.EQ(BB187, BB$7:BB$375,0)</f>
        <v>242</v>
      </c>
      <c r="BD187" s="2">
        <v>66</v>
      </c>
      <c r="BE187" s="2">
        <f t="shared" si="2521"/>
        <v>146</v>
      </c>
      <c r="BF187" s="2">
        <v>296</v>
      </c>
      <c r="BG187" s="2">
        <f t="shared" ref="BG187:BI187" si="2522">_xlfn.RANK.EQ(BF187, BF$7:BF$375,0)</f>
        <v>148</v>
      </c>
      <c r="BH187" s="2">
        <v>6</v>
      </c>
      <c r="BI187" s="2">
        <f t="shared" si="2522"/>
        <v>135</v>
      </c>
    </row>
    <row r="188" spans="1:61" x14ac:dyDescent="0.55000000000000004">
      <c r="A188" s="2">
        <v>182</v>
      </c>
      <c r="B188" s="2" t="s">
        <v>238</v>
      </c>
      <c r="C188" s="2" t="s">
        <v>64</v>
      </c>
      <c r="D188" s="2">
        <v>57</v>
      </c>
      <c r="E188" s="2">
        <f t="shared" si="1794"/>
        <v>100</v>
      </c>
      <c r="F188" s="2">
        <v>0</v>
      </c>
      <c r="G188" s="2">
        <f t="shared" ref="G188:I188" si="2523">_xlfn.RANK.EQ(F188, F$7:F$375,0)</f>
        <v>291</v>
      </c>
      <c r="H188" s="3">
        <v>27.413888888888888</v>
      </c>
      <c r="I188" s="2">
        <f t="shared" si="2523"/>
        <v>218</v>
      </c>
      <c r="J188" s="5">
        <v>0.48055555555555557</v>
      </c>
      <c r="K188" s="2">
        <f t="shared" ref="K188:M188" si="2524">_xlfn.RANK.EQ(J188, J$7:J$375,0)</f>
        <v>255</v>
      </c>
      <c r="L188" s="2">
        <v>238</v>
      </c>
      <c r="M188" s="2">
        <f t="shared" si="2524"/>
        <v>182</v>
      </c>
      <c r="N188" s="2">
        <v>83</v>
      </c>
      <c r="O188" s="2">
        <f t="shared" ref="O188:Q188" si="2525">_xlfn.RANK.EQ(N188, N$7:N$375,0)</f>
        <v>189</v>
      </c>
      <c r="P188" s="2">
        <v>218</v>
      </c>
      <c r="Q188" s="2">
        <f t="shared" si="2525"/>
        <v>186</v>
      </c>
      <c r="R188" s="4">
        <v>0.38100000000000001</v>
      </c>
      <c r="S188" s="2">
        <f t="shared" ref="S188:U188" si="2526">_xlfn.RANK.EQ(R188, R$7:R$375,0)</f>
        <v>235</v>
      </c>
      <c r="T188" s="2">
        <v>68</v>
      </c>
      <c r="U188" s="2">
        <f t="shared" si="2526"/>
        <v>144</v>
      </c>
      <c r="V188" s="2">
        <v>160</v>
      </c>
      <c r="W188" s="2">
        <f t="shared" ref="W188:Y188" si="2527">_xlfn.RANK.EQ(V188, V$7:V$375,0)</f>
        <v>128</v>
      </c>
      <c r="X188" s="4">
        <v>0.42499999999999999</v>
      </c>
      <c r="Y188" s="2">
        <f t="shared" si="2527"/>
        <v>273</v>
      </c>
      <c r="Z188" s="2">
        <v>15</v>
      </c>
      <c r="AA188" s="2">
        <f t="shared" ref="AA188:AC188" si="2528">_xlfn.RANK.EQ(Z188, Z$7:Z$375,0)</f>
        <v>230</v>
      </c>
      <c r="AB188" s="2">
        <v>58</v>
      </c>
      <c r="AC188" s="2">
        <f t="shared" si="2528"/>
        <v>222</v>
      </c>
      <c r="AD188" s="4">
        <v>0.25900000000000001</v>
      </c>
      <c r="AE188" s="2">
        <f t="shared" ref="AE188:AG188" si="2529">_xlfn.RANK.EQ(AD188, AD$7:AD$375,0)</f>
        <v>266</v>
      </c>
      <c r="AF188" s="2">
        <v>57</v>
      </c>
      <c r="AG188" s="2">
        <f t="shared" si="2529"/>
        <v>113</v>
      </c>
      <c r="AH188" s="2">
        <v>82</v>
      </c>
      <c r="AI188" s="2">
        <f t="shared" ref="AI188:AK188" si="2530">_xlfn.RANK.EQ(AH188, AH$7:AH$375,0)</f>
        <v>112</v>
      </c>
      <c r="AJ188" s="4">
        <v>0.69499999999999995</v>
      </c>
      <c r="AK188" s="2">
        <f t="shared" si="2530"/>
        <v>207</v>
      </c>
      <c r="AL188" s="2">
        <v>31</v>
      </c>
      <c r="AM188" s="2">
        <f t="shared" ref="AM188:AO188" si="2531">_xlfn.RANK.EQ(AL188, AL$7:AL$375,0)</f>
        <v>143</v>
      </c>
      <c r="AN188" s="2">
        <v>38</v>
      </c>
      <c r="AO188" s="2">
        <f t="shared" si="2531"/>
        <v>231</v>
      </c>
      <c r="AP188" s="2">
        <v>69</v>
      </c>
      <c r="AQ188" s="2">
        <f t="shared" ref="AQ188:AS188" si="2532">_xlfn.RANK.EQ(AP188, AP$7:AP$375,0)</f>
        <v>207</v>
      </c>
      <c r="AR188" s="2">
        <v>104</v>
      </c>
      <c r="AS188" s="2">
        <f t="shared" si="2532"/>
        <v>121</v>
      </c>
      <c r="AT188" s="2">
        <v>67</v>
      </c>
      <c r="AU188" s="2">
        <f t="shared" ref="AU188:AW188" si="2533">_xlfn.RANK.EQ(AT188, AT$7:AT$375,0)</f>
        <v>104</v>
      </c>
      <c r="AV188" s="2">
        <v>24</v>
      </c>
      <c r="AW188" s="2">
        <f t="shared" si="2533"/>
        <v>180</v>
      </c>
      <c r="AX188" s="2">
        <v>14</v>
      </c>
      <c r="AY188" s="2">
        <f t="shared" ref="AY188:BA188" si="2534">_xlfn.RANK.EQ(AX188, AX$7:AX$375,0)</f>
        <v>82</v>
      </c>
      <c r="AZ188" s="2">
        <v>15</v>
      </c>
      <c r="BA188" s="2">
        <f t="shared" si="2534"/>
        <v>87</v>
      </c>
      <c r="BB188" s="2">
        <v>83</v>
      </c>
      <c r="BC188" s="2">
        <f t="shared" ref="BC188:BE188" si="2535">_xlfn.RANK.EQ(BB188, BB$7:BB$375,0)</f>
        <v>184</v>
      </c>
      <c r="BD188" s="2">
        <v>116</v>
      </c>
      <c r="BE188" s="2">
        <f t="shared" si="2535"/>
        <v>96</v>
      </c>
      <c r="BF188" s="2">
        <v>240</v>
      </c>
      <c r="BG188" s="2">
        <f t="shared" ref="BG188:BI188" si="2536">_xlfn.RANK.EQ(BF188, BF$7:BF$375,0)</f>
        <v>170</v>
      </c>
      <c r="BH188" s="2">
        <v>45</v>
      </c>
      <c r="BI188" s="2">
        <f t="shared" si="2536"/>
        <v>103</v>
      </c>
    </row>
    <row r="189" spans="1:61" x14ac:dyDescent="0.55000000000000004">
      <c r="A189" s="2">
        <v>182</v>
      </c>
      <c r="B189" s="2" t="s">
        <v>239</v>
      </c>
      <c r="C189" s="2" t="s">
        <v>86</v>
      </c>
      <c r="D189" s="2">
        <v>58</v>
      </c>
      <c r="E189" s="2">
        <f t="shared" si="1794"/>
        <v>78</v>
      </c>
      <c r="F189" s="2">
        <v>3</v>
      </c>
      <c r="G189" s="2">
        <f t="shared" ref="G189:I189" si="2537">_xlfn.RANK.EQ(F189, F$7:F$375,0)</f>
        <v>248</v>
      </c>
      <c r="H189" s="3">
        <v>31.68888888888889</v>
      </c>
      <c r="I189" s="2">
        <f t="shared" si="2537"/>
        <v>195</v>
      </c>
      <c r="J189" s="5">
        <v>0.54583333333333328</v>
      </c>
      <c r="K189" s="2">
        <f t="shared" ref="K189:M189" si="2538">_xlfn.RANK.EQ(J189, J$7:J$375,0)</f>
        <v>244</v>
      </c>
      <c r="L189" s="2">
        <v>238</v>
      </c>
      <c r="M189" s="2">
        <f t="shared" si="2538"/>
        <v>182</v>
      </c>
      <c r="N189" s="2">
        <v>96</v>
      </c>
      <c r="O189" s="2">
        <f t="shared" ref="O189:Q189" si="2539">_xlfn.RANK.EQ(N189, N$7:N$375,0)</f>
        <v>176</v>
      </c>
      <c r="P189" s="2">
        <v>220</v>
      </c>
      <c r="Q189" s="2">
        <f t="shared" si="2539"/>
        <v>184</v>
      </c>
      <c r="R189" s="4">
        <v>0.436</v>
      </c>
      <c r="S189" s="2">
        <f t="shared" ref="S189:U189" si="2540">_xlfn.RANK.EQ(R189, R$7:R$375,0)</f>
        <v>137</v>
      </c>
      <c r="T189" s="2">
        <v>90</v>
      </c>
      <c r="U189" s="2">
        <f t="shared" si="2540"/>
        <v>115</v>
      </c>
      <c r="V189" s="2">
        <v>187</v>
      </c>
      <c r="W189" s="2">
        <f t="shared" ref="W189:Y189" si="2541">_xlfn.RANK.EQ(V189, V$7:V$375,0)</f>
        <v>111</v>
      </c>
      <c r="X189" s="4">
        <v>0.48099999999999998</v>
      </c>
      <c r="Y189" s="2">
        <f t="shared" si="2541"/>
        <v>206</v>
      </c>
      <c r="Z189" s="2">
        <v>6</v>
      </c>
      <c r="AA189" s="2">
        <f t="shared" ref="AA189:AC189" si="2542">_xlfn.RANK.EQ(Z189, Z$7:Z$375,0)</f>
        <v>274</v>
      </c>
      <c r="AB189" s="2">
        <v>33</v>
      </c>
      <c r="AC189" s="2">
        <f t="shared" si="2542"/>
        <v>261</v>
      </c>
      <c r="AD189" s="4">
        <v>0.182</v>
      </c>
      <c r="AE189" s="2">
        <f t="shared" ref="AE189:AG189" si="2543">_xlfn.RANK.EQ(AD189, AD$7:AD$375,0)</f>
        <v>313</v>
      </c>
      <c r="AF189" s="2">
        <v>40</v>
      </c>
      <c r="AG189" s="2">
        <f t="shared" si="2543"/>
        <v>143</v>
      </c>
      <c r="AH189" s="2">
        <v>55</v>
      </c>
      <c r="AI189" s="2">
        <f t="shared" ref="AI189:AK189" si="2544">_xlfn.RANK.EQ(AH189, AH$7:AH$375,0)</f>
        <v>146</v>
      </c>
      <c r="AJ189" s="4">
        <v>0.72699999999999998</v>
      </c>
      <c r="AK189" s="2">
        <f t="shared" si="2544"/>
        <v>176</v>
      </c>
      <c r="AL189" s="2">
        <v>21</v>
      </c>
      <c r="AM189" s="2">
        <f t="shared" ref="AM189:AO189" si="2545">_xlfn.RANK.EQ(AL189, AL$7:AL$375,0)</f>
        <v>193</v>
      </c>
      <c r="AN189" s="2">
        <v>33</v>
      </c>
      <c r="AO189" s="2">
        <f t="shared" si="2545"/>
        <v>246</v>
      </c>
      <c r="AP189" s="2">
        <v>54</v>
      </c>
      <c r="AQ189" s="2">
        <f t="shared" ref="AQ189:AS189" si="2546">_xlfn.RANK.EQ(AP189, AP$7:AP$375,0)</f>
        <v>237</v>
      </c>
      <c r="AR189" s="2">
        <v>198</v>
      </c>
      <c r="AS189" s="2">
        <f t="shared" si="2546"/>
        <v>34</v>
      </c>
      <c r="AT189" s="2">
        <v>88</v>
      </c>
      <c r="AU189" s="2">
        <f t="shared" ref="AU189:AW189" si="2547">_xlfn.RANK.EQ(AT189, AT$7:AT$375,0)</f>
        <v>64</v>
      </c>
      <c r="AV189" s="2">
        <v>30</v>
      </c>
      <c r="AW189" s="2">
        <f t="shared" si="2547"/>
        <v>145</v>
      </c>
      <c r="AX189" s="2">
        <v>2</v>
      </c>
      <c r="AY189" s="2">
        <f t="shared" ref="AY189:BA189" si="2548">_xlfn.RANK.EQ(AX189, AX$7:AX$375,0)</f>
        <v>234</v>
      </c>
      <c r="AZ189" s="2">
        <v>15</v>
      </c>
      <c r="BA189" s="2">
        <f t="shared" si="2548"/>
        <v>87</v>
      </c>
      <c r="BB189" s="2">
        <v>90</v>
      </c>
      <c r="BC189" s="2">
        <f t="shared" ref="BC189:BE189" si="2549">_xlfn.RANK.EQ(BB189, BB$7:BB$375,0)</f>
        <v>163</v>
      </c>
      <c r="BD189" s="2">
        <v>85</v>
      </c>
      <c r="BE189" s="2">
        <f t="shared" si="2549"/>
        <v>128</v>
      </c>
      <c r="BF189" s="2">
        <v>275</v>
      </c>
      <c r="BG189" s="2">
        <f t="shared" ref="BG189:BI189" si="2550">_xlfn.RANK.EQ(BF189, BF$7:BF$375,0)</f>
        <v>156</v>
      </c>
      <c r="BH189" s="2">
        <v>-251</v>
      </c>
      <c r="BI189" s="2">
        <f t="shared" si="2550"/>
        <v>352</v>
      </c>
    </row>
    <row r="190" spans="1:61" x14ac:dyDescent="0.55000000000000004">
      <c r="A190" s="2">
        <v>184</v>
      </c>
      <c r="B190" s="2" t="s">
        <v>240</v>
      </c>
      <c r="C190" s="2" t="s">
        <v>86</v>
      </c>
      <c r="D190" s="2">
        <v>44</v>
      </c>
      <c r="E190" s="2">
        <f t="shared" si="1794"/>
        <v>224</v>
      </c>
      <c r="F190" s="2">
        <v>19</v>
      </c>
      <c r="G190" s="2">
        <f t="shared" ref="G190:I190" si="2551">_xlfn.RANK.EQ(F190, F$7:F$375,0)</f>
        <v>155</v>
      </c>
      <c r="H190" s="3">
        <v>30.957638888888887</v>
      </c>
      <c r="I190" s="2">
        <f t="shared" si="2551"/>
        <v>200</v>
      </c>
      <c r="J190" s="5">
        <v>0.70347222222222228</v>
      </c>
      <c r="K190" s="2">
        <f t="shared" ref="K190:M190" si="2552">_xlfn.RANK.EQ(J190, J$7:J$375,0)</f>
        <v>193</v>
      </c>
      <c r="L190" s="2">
        <v>237</v>
      </c>
      <c r="M190" s="2">
        <f t="shared" si="2552"/>
        <v>184</v>
      </c>
      <c r="N190" s="2">
        <v>86</v>
      </c>
      <c r="O190" s="2">
        <f t="shared" ref="O190:Q190" si="2553">_xlfn.RANK.EQ(N190, N$7:N$375,0)</f>
        <v>184</v>
      </c>
      <c r="P190" s="2">
        <v>245</v>
      </c>
      <c r="Q190" s="2">
        <f t="shared" si="2553"/>
        <v>168</v>
      </c>
      <c r="R190" s="4">
        <v>0.35099999999999998</v>
      </c>
      <c r="S190" s="2">
        <f t="shared" ref="S190:U190" si="2554">_xlfn.RANK.EQ(R190, R$7:R$375,0)</f>
        <v>277</v>
      </c>
      <c r="T190" s="2">
        <v>56</v>
      </c>
      <c r="U190" s="2">
        <f t="shared" si="2554"/>
        <v>160</v>
      </c>
      <c r="V190" s="2">
        <v>132</v>
      </c>
      <c r="W190" s="2">
        <f t="shared" ref="W190:Y190" si="2555">_xlfn.RANK.EQ(V190, V$7:V$375,0)</f>
        <v>150</v>
      </c>
      <c r="X190" s="4">
        <v>0.42399999999999999</v>
      </c>
      <c r="Y190" s="2">
        <f t="shared" si="2555"/>
        <v>275</v>
      </c>
      <c r="Z190" s="2">
        <v>30</v>
      </c>
      <c r="AA190" s="2">
        <f t="shared" ref="AA190:AC190" si="2556">_xlfn.RANK.EQ(Z190, Z$7:Z$375,0)</f>
        <v>174</v>
      </c>
      <c r="AB190" s="2">
        <v>113</v>
      </c>
      <c r="AC190" s="2">
        <f t="shared" si="2556"/>
        <v>155</v>
      </c>
      <c r="AD190" s="4">
        <v>0.26500000000000001</v>
      </c>
      <c r="AE190" s="2">
        <f t="shared" ref="AE190:AG190" si="2557">_xlfn.RANK.EQ(AD190, AD$7:AD$375,0)</f>
        <v>260</v>
      </c>
      <c r="AF190" s="2">
        <v>35</v>
      </c>
      <c r="AG190" s="2">
        <f t="shared" si="2557"/>
        <v>157</v>
      </c>
      <c r="AH190" s="2">
        <v>70</v>
      </c>
      <c r="AI190" s="2">
        <f t="shared" ref="AI190:AK190" si="2558">_xlfn.RANK.EQ(AH190, AH$7:AH$375,0)</f>
        <v>124</v>
      </c>
      <c r="AJ190" s="4">
        <v>0.5</v>
      </c>
      <c r="AK190" s="2">
        <f t="shared" si="2558"/>
        <v>306</v>
      </c>
      <c r="AL190" s="2">
        <v>33</v>
      </c>
      <c r="AM190" s="2">
        <f t="shared" ref="AM190:AO190" si="2559">_xlfn.RANK.EQ(AL190, AL$7:AL$375,0)</f>
        <v>138</v>
      </c>
      <c r="AN190" s="2">
        <v>56</v>
      </c>
      <c r="AO190" s="2">
        <f t="shared" si="2559"/>
        <v>187</v>
      </c>
      <c r="AP190" s="2">
        <v>89</v>
      </c>
      <c r="AQ190" s="2">
        <f t="shared" ref="AQ190:AS190" si="2560">_xlfn.RANK.EQ(AP190, AP$7:AP$375,0)</f>
        <v>174</v>
      </c>
      <c r="AR190" s="2">
        <v>49</v>
      </c>
      <c r="AS190" s="2">
        <f t="shared" si="2560"/>
        <v>220</v>
      </c>
      <c r="AT190" s="2">
        <v>40</v>
      </c>
      <c r="AU190" s="2">
        <f t="shared" ref="AU190:AW190" si="2561">_xlfn.RANK.EQ(AT190, AT$7:AT$375,0)</f>
        <v>177</v>
      </c>
      <c r="AV190" s="2">
        <v>31</v>
      </c>
      <c r="AW190" s="2">
        <f t="shared" si="2561"/>
        <v>139</v>
      </c>
      <c r="AX190" s="2">
        <v>11</v>
      </c>
      <c r="AY190" s="2">
        <f t="shared" ref="AY190:BA190" si="2562">_xlfn.RANK.EQ(AX190, AX$7:AX$375,0)</f>
        <v>97</v>
      </c>
      <c r="AZ190" s="2">
        <v>17</v>
      </c>
      <c r="BA190" s="2">
        <f t="shared" si="2562"/>
        <v>66</v>
      </c>
      <c r="BB190" s="2">
        <v>101</v>
      </c>
      <c r="BC190" s="2">
        <f t="shared" ref="BC190:BE190" si="2563">_xlfn.RANK.EQ(BB190, BB$7:BB$375,0)</f>
        <v>133</v>
      </c>
      <c r="BD190" s="2">
        <v>62</v>
      </c>
      <c r="BE190" s="2">
        <f t="shared" si="2563"/>
        <v>151</v>
      </c>
      <c r="BF190" s="2">
        <v>127</v>
      </c>
      <c r="BG190" s="2">
        <f t="shared" ref="BG190:BI190" si="2564">_xlfn.RANK.EQ(BF190, BF$7:BF$375,0)</f>
        <v>227</v>
      </c>
      <c r="BH190" s="2">
        <v>-125</v>
      </c>
      <c r="BI190" s="2">
        <f t="shared" si="2564"/>
        <v>302</v>
      </c>
    </row>
    <row r="191" spans="1:61" x14ac:dyDescent="0.55000000000000004">
      <c r="A191" s="2">
        <v>185</v>
      </c>
      <c r="B191" s="2" t="s">
        <v>241</v>
      </c>
      <c r="C191" s="2" t="s">
        <v>52</v>
      </c>
      <c r="D191" s="2">
        <v>60</v>
      </c>
      <c r="E191" s="2">
        <f t="shared" si="1794"/>
        <v>1</v>
      </c>
      <c r="F191" s="2">
        <v>1</v>
      </c>
      <c r="G191" s="2">
        <f t="shared" ref="G191:I191" si="2565">_xlfn.RANK.EQ(F191, F$7:F$375,0)</f>
        <v>272</v>
      </c>
      <c r="H191" s="3">
        <v>32.935416666666669</v>
      </c>
      <c r="I191" s="2">
        <f t="shared" si="2565"/>
        <v>188</v>
      </c>
      <c r="J191" s="5">
        <v>0.54861111111111116</v>
      </c>
      <c r="K191" s="2">
        <f t="shared" ref="K191:M191" si="2566">_xlfn.RANK.EQ(J191, J$7:J$375,0)</f>
        <v>242</v>
      </c>
      <c r="L191" s="2">
        <v>236</v>
      </c>
      <c r="M191" s="2">
        <f t="shared" si="2566"/>
        <v>185</v>
      </c>
      <c r="N191" s="2">
        <v>81</v>
      </c>
      <c r="O191" s="2">
        <f t="shared" ref="O191:Q191" si="2567">_xlfn.RANK.EQ(N191, N$7:N$375,0)</f>
        <v>194</v>
      </c>
      <c r="P191" s="2">
        <v>235</v>
      </c>
      <c r="Q191" s="2">
        <f t="shared" si="2567"/>
        <v>174</v>
      </c>
      <c r="R191" s="4">
        <v>0.34499999999999997</v>
      </c>
      <c r="S191" s="2">
        <f t="shared" ref="S191:U191" si="2568">_xlfn.RANK.EQ(R191, R$7:R$375,0)</f>
        <v>286</v>
      </c>
      <c r="T191" s="2">
        <v>44</v>
      </c>
      <c r="U191" s="2">
        <f t="shared" si="2568"/>
        <v>189</v>
      </c>
      <c r="V191" s="2">
        <v>93</v>
      </c>
      <c r="W191" s="2">
        <f t="shared" ref="W191:Y191" si="2569">_xlfn.RANK.EQ(V191, V$7:V$375,0)</f>
        <v>186</v>
      </c>
      <c r="X191" s="4">
        <v>0.47299999999999998</v>
      </c>
      <c r="Y191" s="2">
        <f t="shared" si="2569"/>
        <v>217</v>
      </c>
      <c r="Z191" s="2">
        <v>37</v>
      </c>
      <c r="AA191" s="2">
        <f t="shared" ref="AA191:AC191" si="2570">_xlfn.RANK.EQ(Z191, Z$7:Z$375,0)</f>
        <v>152</v>
      </c>
      <c r="AB191" s="2">
        <v>142</v>
      </c>
      <c r="AC191" s="2">
        <f t="shared" si="2570"/>
        <v>127</v>
      </c>
      <c r="AD191" s="4">
        <v>0.26100000000000001</v>
      </c>
      <c r="AE191" s="2">
        <f t="shared" ref="AE191:AG191" si="2571">_xlfn.RANK.EQ(AD191, AD$7:AD$375,0)</f>
        <v>264</v>
      </c>
      <c r="AF191" s="2">
        <v>37</v>
      </c>
      <c r="AG191" s="2">
        <f t="shared" si="2571"/>
        <v>150</v>
      </c>
      <c r="AH191" s="2">
        <v>50</v>
      </c>
      <c r="AI191" s="2">
        <f t="shared" ref="AI191:AK191" si="2572">_xlfn.RANK.EQ(AH191, AH$7:AH$375,0)</f>
        <v>156</v>
      </c>
      <c r="AJ191" s="4">
        <v>0.74</v>
      </c>
      <c r="AK191" s="2">
        <f t="shared" si="2572"/>
        <v>166</v>
      </c>
      <c r="AL191" s="2">
        <v>35</v>
      </c>
      <c r="AM191" s="2">
        <f t="shared" ref="AM191:AO191" si="2573">_xlfn.RANK.EQ(AL191, AL$7:AL$375,0)</f>
        <v>129</v>
      </c>
      <c r="AN191" s="2">
        <v>58</v>
      </c>
      <c r="AO191" s="2">
        <f t="shared" si="2573"/>
        <v>185</v>
      </c>
      <c r="AP191" s="2">
        <v>93</v>
      </c>
      <c r="AQ191" s="2">
        <f t="shared" ref="AQ191:AS191" si="2574">_xlfn.RANK.EQ(AP191, AP$7:AP$375,0)</f>
        <v>171</v>
      </c>
      <c r="AR191" s="2">
        <v>116</v>
      </c>
      <c r="AS191" s="2">
        <f t="shared" si="2574"/>
        <v>100</v>
      </c>
      <c r="AT191" s="2">
        <v>66</v>
      </c>
      <c r="AU191" s="2">
        <f t="shared" ref="AU191:AW191" si="2575">_xlfn.RANK.EQ(AT191, AT$7:AT$375,0)</f>
        <v>106</v>
      </c>
      <c r="AV191" s="2">
        <v>43</v>
      </c>
      <c r="AW191" s="2">
        <f t="shared" si="2575"/>
        <v>90</v>
      </c>
      <c r="AX191" s="2">
        <v>4</v>
      </c>
      <c r="AY191" s="2">
        <f t="shared" ref="AY191:BA191" si="2576">_xlfn.RANK.EQ(AX191, AX$7:AX$375,0)</f>
        <v>186</v>
      </c>
      <c r="AZ191" s="2">
        <v>10</v>
      </c>
      <c r="BA191" s="2">
        <f t="shared" si="2576"/>
        <v>144</v>
      </c>
      <c r="BB191" s="2">
        <v>82</v>
      </c>
      <c r="BC191" s="2">
        <f t="shared" ref="BC191:BE191" si="2577">_xlfn.RANK.EQ(BB191, BB$7:BB$375,0)</f>
        <v>186</v>
      </c>
      <c r="BD191" s="2">
        <v>62</v>
      </c>
      <c r="BE191" s="2">
        <f t="shared" si="2577"/>
        <v>151</v>
      </c>
      <c r="BF191" s="2">
        <v>229</v>
      </c>
      <c r="BG191" s="2">
        <f t="shared" ref="BG191:BI191" si="2578">_xlfn.RANK.EQ(BF191, BF$7:BF$375,0)</f>
        <v>174</v>
      </c>
      <c r="BH191" s="2">
        <v>164</v>
      </c>
      <c r="BI191" s="2">
        <f t="shared" si="2578"/>
        <v>57</v>
      </c>
    </row>
    <row r="192" spans="1:61" x14ac:dyDescent="0.55000000000000004">
      <c r="A192" s="2">
        <v>186</v>
      </c>
      <c r="B192" s="2" t="s">
        <v>242</v>
      </c>
      <c r="C192" s="2" t="s">
        <v>50</v>
      </c>
      <c r="D192" s="2">
        <v>30</v>
      </c>
      <c r="E192" s="2">
        <f t="shared" si="1794"/>
        <v>283</v>
      </c>
      <c r="F192" s="2">
        <v>29</v>
      </c>
      <c r="G192" s="2">
        <f t="shared" ref="G192:I192" si="2579">_xlfn.RANK.EQ(F192, F$7:F$375,0)</f>
        <v>120</v>
      </c>
      <c r="H192" s="3">
        <v>26.329861111111111</v>
      </c>
      <c r="I192" s="2">
        <f t="shared" si="2579"/>
        <v>224</v>
      </c>
      <c r="J192" s="5">
        <v>0.87708333333333333</v>
      </c>
      <c r="K192" s="2">
        <f t="shared" ref="K192:M192" si="2580">_xlfn.RANK.EQ(J192, J$7:J$375,0)</f>
        <v>140</v>
      </c>
      <c r="L192" s="2">
        <v>235</v>
      </c>
      <c r="M192" s="2">
        <f t="shared" si="2580"/>
        <v>186</v>
      </c>
      <c r="N192" s="2">
        <v>87</v>
      </c>
      <c r="O192" s="2">
        <f t="shared" ref="O192:Q192" si="2581">_xlfn.RANK.EQ(N192, N$7:N$375,0)</f>
        <v>183</v>
      </c>
      <c r="P192" s="2">
        <v>219</v>
      </c>
      <c r="Q192" s="2">
        <f t="shared" si="2581"/>
        <v>185</v>
      </c>
      <c r="R192" s="4">
        <v>0.39700000000000002</v>
      </c>
      <c r="S192" s="2">
        <f t="shared" ref="S192:U192" si="2582">_xlfn.RANK.EQ(R192, R$7:R$375,0)</f>
        <v>208</v>
      </c>
      <c r="T192" s="2">
        <v>53</v>
      </c>
      <c r="U192" s="2">
        <f t="shared" si="2582"/>
        <v>167</v>
      </c>
      <c r="V192" s="2">
        <v>118</v>
      </c>
      <c r="W192" s="2">
        <f t="shared" ref="W192:Y192" si="2583">_xlfn.RANK.EQ(V192, V$7:V$375,0)</f>
        <v>162</v>
      </c>
      <c r="X192" s="4">
        <v>0.44900000000000001</v>
      </c>
      <c r="Y192" s="2">
        <f t="shared" si="2583"/>
        <v>244</v>
      </c>
      <c r="Z192" s="2">
        <v>34</v>
      </c>
      <c r="AA192" s="2">
        <f t="shared" ref="AA192:AC192" si="2584">_xlfn.RANK.EQ(Z192, Z$7:Z$375,0)</f>
        <v>159</v>
      </c>
      <c r="AB192" s="2">
        <v>101</v>
      </c>
      <c r="AC192" s="2">
        <f t="shared" si="2584"/>
        <v>166</v>
      </c>
      <c r="AD192" s="4">
        <v>0.33700000000000002</v>
      </c>
      <c r="AE192" s="2">
        <f t="shared" ref="AE192:AG192" si="2585">_xlfn.RANK.EQ(AD192, AD$7:AD$375,0)</f>
        <v>145</v>
      </c>
      <c r="AF192" s="2">
        <v>27</v>
      </c>
      <c r="AG192" s="2">
        <f t="shared" si="2585"/>
        <v>187</v>
      </c>
      <c r="AH192" s="2">
        <v>41</v>
      </c>
      <c r="AI192" s="2">
        <f t="shared" ref="AI192:AK192" si="2586">_xlfn.RANK.EQ(AH192, AH$7:AH$375,0)</f>
        <v>170</v>
      </c>
      <c r="AJ192" s="4">
        <v>0.65900000000000003</v>
      </c>
      <c r="AK192" s="2">
        <f t="shared" si="2586"/>
        <v>241</v>
      </c>
      <c r="AL192" s="2">
        <v>4</v>
      </c>
      <c r="AM192" s="2">
        <f t="shared" ref="AM192:AO192" si="2587">_xlfn.RANK.EQ(AL192, AL$7:AL$375,0)</f>
        <v>305</v>
      </c>
      <c r="AN192" s="2">
        <v>46</v>
      </c>
      <c r="AO192" s="2">
        <f t="shared" si="2587"/>
        <v>206</v>
      </c>
      <c r="AP192" s="2">
        <v>50</v>
      </c>
      <c r="AQ192" s="2">
        <f t="shared" ref="AQ192:AS192" si="2588">_xlfn.RANK.EQ(AP192, AP$7:AP$375,0)</f>
        <v>247</v>
      </c>
      <c r="AR192" s="2">
        <v>145</v>
      </c>
      <c r="AS192" s="2">
        <f t="shared" si="2588"/>
        <v>76</v>
      </c>
      <c r="AT192" s="2">
        <v>45</v>
      </c>
      <c r="AU192" s="2">
        <f t="shared" ref="AU192:AW192" si="2589">_xlfn.RANK.EQ(AT192, AT$7:AT$375,0)</f>
        <v>159</v>
      </c>
      <c r="AV192" s="2">
        <v>16</v>
      </c>
      <c r="AW192" s="2">
        <f t="shared" si="2589"/>
        <v>233</v>
      </c>
      <c r="AX192" s="2">
        <v>4</v>
      </c>
      <c r="AY192" s="2">
        <f t="shared" ref="AY192:BA192" si="2590">_xlfn.RANK.EQ(AX192, AX$7:AX$375,0)</f>
        <v>186</v>
      </c>
      <c r="AZ192" s="2">
        <v>7</v>
      </c>
      <c r="BA192" s="2">
        <f t="shared" si="2590"/>
        <v>195</v>
      </c>
      <c r="BB192" s="2">
        <v>65</v>
      </c>
      <c r="BC192" s="2">
        <f t="shared" ref="BC192:BE192" si="2591">_xlfn.RANK.EQ(BB192, BB$7:BB$375,0)</f>
        <v>229</v>
      </c>
      <c r="BD192" s="2">
        <v>58</v>
      </c>
      <c r="BE192" s="2">
        <f t="shared" si="2591"/>
        <v>160</v>
      </c>
      <c r="BF192" s="2">
        <v>245</v>
      </c>
      <c r="BG192" s="2">
        <f t="shared" ref="BG192:BI192" si="2592">_xlfn.RANK.EQ(BF192, BF$7:BF$375,0)</f>
        <v>167</v>
      </c>
      <c r="BH192" s="2">
        <v>40</v>
      </c>
      <c r="BI192" s="2">
        <f t="shared" si="2592"/>
        <v>106</v>
      </c>
    </row>
    <row r="193" spans="1:61" x14ac:dyDescent="0.55000000000000004">
      <c r="A193" s="2">
        <v>186</v>
      </c>
      <c r="B193" s="2" t="s">
        <v>243</v>
      </c>
      <c r="C193" s="2" t="s">
        <v>79</v>
      </c>
      <c r="D193" s="2">
        <v>60</v>
      </c>
      <c r="E193" s="2">
        <f t="shared" si="1794"/>
        <v>1</v>
      </c>
      <c r="F193" s="2">
        <v>7</v>
      </c>
      <c r="G193" s="2">
        <f t="shared" ref="G193:I193" si="2593">_xlfn.RANK.EQ(F193, F$7:F$375,0)</f>
        <v>218</v>
      </c>
      <c r="H193" s="3">
        <v>39.90625</v>
      </c>
      <c r="I193" s="2">
        <f t="shared" si="2593"/>
        <v>150</v>
      </c>
      <c r="J193" s="5">
        <v>0.6645833333333333</v>
      </c>
      <c r="K193" s="2">
        <f t="shared" ref="K193:M193" si="2594">_xlfn.RANK.EQ(J193, J$7:J$375,0)</f>
        <v>204</v>
      </c>
      <c r="L193" s="2">
        <v>235</v>
      </c>
      <c r="M193" s="2">
        <f t="shared" si="2594"/>
        <v>186</v>
      </c>
      <c r="N193" s="2">
        <v>86</v>
      </c>
      <c r="O193" s="2">
        <f t="shared" ref="O193:Q193" si="2595">_xlfn.RANK.EQ(N193, N$7:N$375,0)</f>
        <v>184</v>
      </c>
      <c r="P193" s="2">
        <v>218</v>
      </c>
      <c r="Q193" s="2">
        <f t="shared" si="2595"/>
        <v>186</v>
      </c>
      <c r="R193" s="4">
        <v>0.39400000000000002</v>
      </c>
      <c r="S193" s="2">
        <f t="shared" ref="S193:U193" si="2596">_xlfn.RANK.EQ(R193, R$7:R$375,0)</f>
        <v>215</v>
      </c>
      <c r="T193" s="2">
        <v>41</v>
      </c>
      <c r="U193" s="2">
        <f t="shared" si="2596"/>
        <v>195</v>
      </c>
      <c r="V193" s="2">
        <v>80</v>
      </c>
      <c r="W193" s="2">
        <f t="shared" ref="W193:Y193" si="2597">_xlfn.RANK.EQ(V193, V$7:V$375,0)</f>
        <v>206</v>
      </c>
      <c r="X193" s="4">
        <v>0.51300000000000001</v>
      </c>
      <c r="Y193" s="2">
        <f t="shared" si="2597"/>
        <v>161</v>
      </c>
      <c r="Z193" s="2">
        <v>45</v>
      </c>
      <c r="AA193" s="2">
        <f t="shared" ref="AA193:AC193" si="2598">_xlfn.RANK.EQ(Z193, Z$7:Z$375,0)</f>
        <v>133</v>
      </c>
      <c r="AB193" s="2">
        <v>138</v>
      </c>
      <c r="AC193" s="2">
        <f t="shared" si="2598"/>
        <v>133</v>
      </c>
      <c r="AD193" s="4">
        <v>0.32600000000000001</v>
      </c>
      <c r="AE193" s="2">
        <f t="shared" ref="AE193:AG193" si="2599">_xlfn.RANK.EQ(AD193, AD$7:AD$375,0)</f>
        <v>171</v>
      </c>
      <c r="AF193" s="2">
        <v>18</v>
      </c>
      <c r="AG193" s="2">
        <f t="shared" si="2599"/>
        <v>224</v>
      </c>
      <c r="AH193" s="2">
        <v>24</v>
      </c>
      <c r="AI193" s="2">
        <f t="shared" ref="AI193:AK193" si="2600">_xlfn.RANK.EQ(AH193, AH$7:AH$375,0)</f>
        <v>234</v>
      </c>
      <c r="AJ193" s="4">
        <v>0.75</v>
      </c>
      <c r="AK193" s="2">
        <f t="shared" si="2600"/>
        <v>148</v>
      </c>
      <c r="AL193" s="2">
        <v>15</v>
      </c>
      <c r="AM193" s="2">
        <f t="shared" ref="AM193:AO193" si="2601">_xlfn.RANK.EQ(AL193, AL$7:AL$375,0)</f>
        <v>241</v>
      </c>
      <c r="AN193" s="2">
        <v>62</v>
      </c>
      <c r="AO193" s="2">
        <f t="shared" si="2601"/>
        <v>174</v>
      </c>
      <c r="AP193" s="2">
        <v>77</v>
      </c>
      <c r="AQ193" s="2">
        <f t="shared" ref="AQ193:AS193" si="2602">_xlfn.RANK.EQ(AP193, AP$7:AP$375,0)</f>
        <v>193</v>
      </c>
      <c r="AR193" s="2">
        <v>57</v>
      </c>
      <c r="AS193" s="2">
        <f t="shared" si="2602"/>
        <v>206</v>
      </c>
      <c r="AT193" s="2">
        <v>21</v>
      </c>
      <c r="AU193" s="2">
        <f t="shared" ref="AU193:AW193" si="2603">_xlfn.RANK.EQ(AT193, AT$7:AT$375,0)</f>
        <v>247</v>
      </c>
      <c r="AV193" s="2">
        <v>28</v>
      </c>
      <c r="AW193" s="2">
        <f t="shared" si="2603"/>
        <v>156</v>
      </c>
      <c r="AX193" s="2">
        <v>7</v>
      </c>
      <c r="AY193" s="2">
        <f t="shared" ref="AY193:BA193" si="2604">_xlfn.RANK.EQ(AX193, AX$7:AX$375,0)</f>
        <v>138</v>
      </c>
      <c r="AZ193" s="2">
        <v>10</v>
      </c>
      <c r="BA193" s="2">
        <f t="shared" si="2604"/>
        <v>144</v>
      </c>
      <c r="BB193" s="2">
        <v>112</v>
      </c>
      <c r="BC193" s="2">
        <f t="shared" ref="BC193:BE193" si="2605">_xlfn.RANK.EQ(BB193, BB$7:BB$375,0)</f>
        <v>104</v>
      </c>
      <c r="BD193" s="2">
        <v>29</v>
      </c>
      <c r="BE193" s="2">
        <f t="shared" si="2605"/>
        <v>235</v>
      </c>
      <c r="BF193" s="2">
        <v>152</v>
      </c>
      <c r="BG193" s="2">
        <f t="shared" ref="BG193:BI193" si="2606">_xlfn.RANK.EQ(BF193, BF$7:BF$375,0)</f>
        <v>205</v>
      </c>
      <c r="BH193" s="2">
        <v>-241</v>
      </c>
      <c r="BI193" s="2">
        <f t="shared" si="2606"/>
        <v>350</v>
      </c>
    </row>
    <row r="194" spans="1:61" x14ac:dyDescent="0.55000000000000004">
      <c r="A194" s="2">
        <v>188</v>
      </c>
      <c r="B194" s="2" t="s">
        <v>244</v>
      </c>
      <c r="C194" s="2" t="s">
        <v>46</v>
      </c>
      <c r="D194" s="2">
        <v>43</v>
      </c>
      <c r="E194" s="2">
        <f t="shared" si="1794"/>
        <v>234</v>
      </c>
      <c r="F194" s="2">
        <v>37</v>
      </c>
      <c r="G194" s="2">
        <f t="shared" ref="G194:I194" si="2607">_xlfn.RANK.EQ(F194, F$7:F$375,0)</f>
        <v>94</v>
      </c>
      <c r="H194" s="3">
        <v>33.918055555555554</v>
      </c>
      <c r="I194" s="2">
        <f t="shared" si="2607"/>
        <v>180</v>
      </c>
      <c r="J194" s="5">
        <v>0.78819444444444442</v>
      </c>
      <c r="K194" s="2">
        <f t="shared" ref="K194:M194" si="2608">_xlfn.RANK.EQ(J194, J$7:J$375,0)</f>
        <v>167</v>
      </c>
      <c r="L194" s="2">
        <v>234</v>
      </c>
      <c r="M194" s="2">
        <f t="shared" si="2608"/>
        <v>188</v>
      </c>
      <c r="N194" s="2">
        <v>83</v>
      </c>
      <c r="O194" s="2">
        <f t="shared" ref="O194:Q194" si="2609">_xlfn.RANK.EQ(N194, N$7:N$375,0)</f>
        <v>189</v>
      </c>
      <c r="P194" s="2">
        <v>208</v>
      </c>
      <c r="Q194" s="2">
        <f t="shared" si="2609"/>
        <v>193</v>
      </c>
      <c r="R194" s="4">
        <v>0.39900000000000002</v>
      </c>
      <c r="S194" s="2">
        <f t="shared" ref="S194:U194" si="2610">_xlfn.RANK.EQ(R194, R$7:R$375,0)</f>
        <v>203</v>
      </c>
      <c r="T194" s="2">
        <v>51</v>
      </c>
      <c r="U194" s="2">
        <f t="shared" si="2610"/>
        <v>170</v>
      </c>
      <c r="V194" s="2">
        <v>119</v>
      </c>
      <c r="W194" s="2">
        <f t="shared" ref="W194:Y194" si="2611">_xlfn.RANK.EQ(V194, V$7:V$375,0)</f>
        <v>160</v>
      </c>
      <c r="X194" s="4">
        <v>0.42899999999999999</v>
      </c>
      <c r="Y194" s="2">
        <f t="shared" si="2611"/>
        <v>270</v>
      </c>
      <c r="Z194" s="2">
        <v>32</v>
      </c>
      <c r="AA194" s="2">
        <f t="shared" ref="AA194:AC194" si="2612">_xlfn.RANK.EQ(Z194, Z$7:Z$375,0)</f>
        <v>168</v>
      </c>
      <c r="AB194" s="2">
        <v>89</v>
      </c>
      <c r="AC194" s="2">
        <f t="shared" si="2612"/>
        <v>184</v>
      </c>
      <c r="AD194" s="4">
        <v>0.36</v>
      </c>
      <c r="AE194" s="2">
        <f t="shared" ref="AE194:AG194" si="2613">_xlfn.RANK.EQ(AD194, AD$7:AD$375,0)</f>
        <v>98</v>
      </c>
      <c r="AF194" s="2">
        <v>36</v>
      </c>
      <c r="AG194" s="2">
        <f t="shared" si="2613"/>
        <v>155</v>
      </c>
      <c r="AH194" s="2">
        <v>41</v>
      </c>
      <c r="AI194" s="2">
        <f t="shared" ref="AI194:AK194" si="2614">_xlfn.RANK.EQ(AH194, AH$7:AH$375,0)</f>
        <v>170</v>
      </c>
      <c r="AJ194" s="4">
        <v>0.878</v>
      </c>
      <c r="AK194" s="2">
        <f t="shared" si="2614"/>
        <v>24</v>
      </c>
      <c r="AL194" s="2">
        <v>14</v>
      </c>
      <c r="AM194" s="2">
        <f t="shared" ref="AM194:AO194" si="2615">_xlfn.RANK.EQ(AL194, AL$7:AL$375,0)</f>
        <v>249</v>
      </c>
      <c r="AN194" s="2">
        <v>36</v>
      </c>
      <c r="AO194" s="2">
        <f t="shared" si="2615"/>
        <v>236</v>
      </c>
      <c r="AP194" s="2">
        <v>50</v>
      </c>
      <c r="AQ194" s="2">
        <f t="shared" ref="AQ194:AS194" si="2616">_xlfn.RANK.EQ(AP194, AP$7:AP$375,0)</f>
        <v>247</v>
      </c>
      <c r="AR194" s="2">
        <v>124</v>
      </c>
      <c r="AS194" s="2">
        <f t="shared" si="2616"/>
        <v>93</v>
      </c>
      <c r="AT194" s="2">
        <v>51</v>
      </c>
      <c r="AU194" s="2">
        <f t="shared" ref="AU194:AW194" si="2617">_xlfn.RANK.EQ(AT194, AT$7:AT$375,0)</f>
        <v>143</v>
      </c>
      <c r="AV194" s="2">
        <v>30</v>
      </c>
      <c r="AW194" s="2">
        <f t="shared" si="2617"/>
        <v>145</v>
      </c>
      <c r="AX194" s="2">
        <v>0</v>
      </c>
      <c r="AY194" s="2">
        <f t="shared" ref="AY194:BA194" si="2618">_xlfn.RANK.EQ(AX194, AX$7:AX$375,0)</f>
        <v>298</v>
      </c>
      <c r="AZ194" s="2">
        <v>6</v>
      </c>
      <c r="BA194" s="2">
        <f t="shared" si="2618"/>
        <v>214</v>
      </c>
      <c r="BB194" s="2">
        <v>110</v>
      </c>
      <c r="BC194" s="2">
        <f t="shared" ref="BC194:BE194" si="2619">_xlfn.RANK.EQ(BB194, BB$7:BB$375,0)</f>
        <v>110</v>
      </c>
      <c r="BD194" s="2">
        <v>66</v>
      </c>
      <c r="BE194" s="2">
        <f t="shared" si="2619"/>
        <v>146</v>
      </c>
      <c r="BF194" s="2">
        <v>206</v>
      </c>
      <c r="BG194" s="2">
        <f t="shared" ref="BG194:BI194" si="2620">_xlfn.RANK.EQ(BF194, BF$7:BF$375,0)</f>
        <v>182</v>
      </c>
      <c r="BH194" s="2">
        <v>-17</v>
      </c>
      <c r="BI194" s="2">
        <f t="shared" si="2620"/>
        <v>185</v>
      </c>
    </row>
    <row r="195" spans="1:61" x14ac:dyDescent="0.55000000000000004">
      <c r="A195" s="2">
        <v>188</v>
      </c>
      <c r="B195" s="2" t="s">
        <v>245</v>
      </c>
      <c r="C195" s="2" t="s">
        <v>74</v>
      </c>
      <c r="D195" s="2">
        <v>60</v>
      </c>
      <c r="E195" s="2">
        <f t="shared" si="1794"/>
        <v>1</v>
      </c>
      <c r="F195" s="2">
        <v>47</v>
      </c>
      <c r="G195" s="2">
        <f t="shared" ref="G195:I195" si="2621">_xlfn.RANK.EQ(F195, F$7:F$375,0)</f>
        <v>61</v>
      </c>
      <c r="H195" s="3">
        <v>49.957638888888887</v>
      </c>
      <c r="I195" s="2">
        <f t="shared" si="2621"/>
        <v>110</v>
      </c>
      <c r="J195" s="5">
        <v>0.83194444444444449</v>
      </c>
      <c r="K195" s="2">
        <f t="shared" ref="K195:M195" si="2622">_xlfn.RANK.EQ(J195, J$7:J$375,0)</f>
        <v>152</v>
      </c>
      <c r="L195" s="2">
        <v>234</v>
      </c>
      <c r="M195" s="2">
        <f t="shared" si="2622"/>
        <v>188</v>
      </c>
      <c r="N195" s="2">
        <v>96</v>
      </c>
      <c r="O195" s="2">
        <f t="shared" ref="O195:Q195" si="2623">_xlfn.RANK.EQ(N195, N$7:N$375,0)</f>
        <v>176</v>
      </c>
      <c r="P195" s="2">
        <v>239</v>
      </c>
      <c r="Q195" s="2">
        <f t="shared" si="2623"/>
        <v>172</v>
      </c>
      <c r="R195" s="4">
        <v>0.40200000000000002</v>
      </c>
      <c r="S195" s="2">
        <f t="shared" ref="S195:U195" si="2624">_xlfn.RANK.EQ(R195, R$7:R$375,0)</f>
        <v>196</v>
      </c>
      <c r="T195" s="2">
        <v>74</v>
      </c>
      <c r="U195" s="2">
        <f t="shared" si="2624"/>
        <v>132</v>
      </c>
      <c r="V195" s="2">
        <v>151</v>
      </c>
      <c r="W195" s="2">
        <f t="shared" ref="W195:Y195" si="2625">_xlfn.RANK.EQ(V195, V$7:V$375,0)</f>
        <v>134</v>
      </c>
      <c r="X195" s="4">
        <v>0.49</v>
      </c>
      <c r="Y195" s="2">
        <f t="shared" si="2625"/>
        <v>196</v>
      </c>
      <c r="Z195" s="2">
        <v>22</v>
      </c>
      <c r="AA195" s="2">
        <f t="shared" ref="AA195:AC195" si="2626">_xlfn.RANK.EQ(Z195, Z$7:Z$375,0)</f>
        <v>203</v>
      </c>
      <c r="AB195" s="2">
        <v>88</v>
      </c>
      <c r="AC195" s="2">
        <f t="shared" si="2626"/>
        <v>186</v>
      </c>
      <c r="AD195" s="4">
        <v>0.25</v>
      </c>
      <c r="AE195" s="2">
        <f t="shared" ref="AE195:AG195" si="2627">_xlfn.RANK.EQ(AD195, AD$7:AD$375,0)</f>
        <v>268</v>
      </c>
      <c r="AF195" s="2">
        <v>20</v>
      </c>
      <c r="AG195" s="2">
        <f t="shared" si="2627"/>
        <v>212</v>
      </c>
      <c r="AH195" s="2">
        <v>38</v>
      </c>
      <c r="AI195" s="2">
        <f t="shared" ref="AI195:AK195" si="2628">_xlfn.RANK.EQ(AH195, AH$7:AH$375,0)</f>
        <v>181</v>
      </c>
      <c r="AJ195" s="4">
        <v>0.52600000000000002</v>
      </c>
      <c r="AK195" s="2">
        <f t="shared" si="2628"/>
        <v>302</v>
      </c>
      <c r="AL195" s="2">
        <v>45</v>
      </c>
      <c r="AM195" s="2">
        <f t="shared" ref="AM195:AO195" si="2629">_xlfn.RANK.EQ(AL195, AL$7:AL$375,0)</f>
        <v>103</v>
      </c>
      <c r="AN195" s="2">
        <v>86</v>
      </c>
      <c r="AO195" s="2">
        <f t="shared" si="2629"/>
        <v>128</v>
      </c>
      <c r="AP195" s="2">
        <v>131</v>
      </c>
      <c r="AQ195" s="2">
        <f t="shared" ref="AQ195:AS195" si="2630">_xlfn.RANK.EQ(AP195, AP$7:AP$375,0)</f>
        <v>120</v>
      </c>
      <c r="AR195" s="2">
        <v>92</v>
      </c>
      <c r="AS195" s="2">
        <f t="shared" si="2630"/>
        <v>138</v>
      </c>
      <c r="AT195" s="2">
        <v>45</v>
      </c>
      <c r="AU195" s="2">
        <f t="shared" ref="AU195:AW195" si="2631">_xlfn.RANK.EQ(AT195, AT$7:AT$375,0)</f>
        <v>159</v>
      </c>
      <c r="AV195" s="2">
        <v>47</v>
      </c>
      <c r="AW195" s="2">
        <f t="shared" si="2631"/>
        <v>73</v>
      </c>
      <c r="AX195" s="2">
        <v>7</v>
      </c>
      <c r="AY195" s="2">
        <f t="shared" ref="AY195:BA195" si="2632">_xlfn.RANK.EQ(AX195, AX$7:AX$375,0)</f>
        <v>138</v>
      </c>
      <c r="AZ195" s="2">
        <v>13</v>
      </c>
      <c r="BA195" s="2">
        <f t="shared" si="2632"/>
        <v>114</v>
      </c>
      <c r="BB195" s="2">
        <v>119</v>
      </c>
      <c r="BC195" s="2">
        <f t="shared" ref="BC195:BE195" si="2633">_xlfn.RANK.EQ(BB195, BB$7:BB$375,0)</f>
        <v>85</v>
      </c>
      <c r="BD195" s="2">
        <v>48</v>
      </c>
      <c r="BE195" s="2">
        <f t="shared" si="2633"/>
        <v>177</v>
      </c>
      <c r="BF195" s="2">
        <v>221</v>
      </c>
      <c r="BG195" s="2">
        <f t="shared" ref="BG195:BI195" si="2634">_xlfn.RANK.EQ(BF195, BF$7:BF$375,0)</f>
        <v>176</v>
      </c>
      <c r="BH195" s="2">
        <v>-18</v>
      </c>
      <c r="BI195" s="2">
        <f t="shared" si="2634"/>
        <v>189</v>
      </c>
    </row>
    <row r="196" spans="1:61" x14ac:dyDescent="0.55000000000000004">
      <c r="A196" s="2">
        <v>190</v>
      </c>
      <c r="B196" s="2" t="s">
        <v>246</v>
      </c>
      <c r="C196" s="2" t="s">
        <v>48</v>
      </c>
      <c r="D196" s="2">
        <v>56</v>
      </c>
      <c r="E196" s="2">
        <f t="shared" si="1794"/>
        <v>124</v>
      </c>
      <c r="F196" s="2">
        <v>36</v>
      </c>
      <c r="G196" s="2">
        <f t="shared" ref="G196:I196" si="2635">_xlfn.RANK.EQ(F196, F$7:F$375,0)</f>
        <v>99</v>
      </c>
      <c r="H196" s="3">
        <v>40.739583333333336</v>
      </c>
      <c r="I196" s="2">
        <f t="shared" si="2635"/>
        <v>147</v>
      </c>
      <c r="J196" s="5">
        <v>0.7270833333333333</v>
      </c>
      <c r="K196" s="2">
        <f t="shared" ref="K196:M196" si="2636">_xlfn.RANK.EQ(J196, J$7:J$375,0)</f>
        <v>185</v>
      </c>
      <c r="L196" s="2">
        <v>233</v>
      </c>
      <c r="M196" s="2">
        <f t="shared" si="2636"/>
        <v>190</v>
      </c>
      <c r="N196" s="2">
        <v>81</v>
      </c>
      <c r="O196" s="2">
        <f t="shared" ref="O196:Q196" si="2637">_xlfn.RANK.EQ(N196, N$7:N$375,0)</f>
        <v>194</v>
      </c>
      <c r="P196" s="2">
        <v>231</v>
      </c>
      <c r="Q196" s="2">
        <f t="shared" si="2637"/>
        <v>177</v>
      </c>
      <c r="R196" s="4">
        <v>0.35099999999999998</v>
      </c>
      <c r="S196" s="2">
        <f t="shared" ref="S196:U196" si="2638">_xlfn.RANK.EQ(R196, R$7:R$375,0)</f>
        <v>277</v>
      </c>
      <c r="T196" s="2">
        <v>34</v>
      </c>
      <c r="U196" s="2">
        <f t="shared" si="2638"/>
        <v>214</v>
      </c>
      <c r="V196" s="2">
        <v>77</v>
      </c>
      <c r="W196" s="2">
        <f t="shared" ref="W196:Y196" si="2639">_xlfn.RANK.EQ(V196, V$7:V$375,0)</f>
        <v>211</v>
      </c>
      <c r="X196" s="4">
        <v>0.442</v>
      </c>
      <c r="Y196" s="2">
        <f t="shared" si="2639"/>
        <v>253</v>
      </c>
      <c r="Z196" s="2">
        <v>47</v>
      </c>
      <c r="AA196" s="2">
        <f t="shared" ref="AA196:AC196" si="2640">_xlfn.RANK.EQ(Z196, Z$7:Z$375,0)</f>
        <v>128</v>
      </c>
      <c r="AB196" s="2">
        <v>154</v>
      </c>
      <c r="AC196" s="2">
        <f t="shared" si="2640"/>
        <v>120</v>
      </c>
      <c r="AD196" s="4">
        <v>0.30499999999999999</v>
      </c>
      <c r="AE196" s="2">
        <f t="shared" ref="AE196:AG196" si="2641">_xlfn.RANK.EQ(AD196, AD$7:AD$375,0)</f>
        <v>202</v>
      </c>
      <c r="AF196" s="2">
        <v>24</v>
      </c>
      <c r="AG196" s="2">
        <f t="shared" si="2641"/>
        <v>195</v>
      </c>
      <c r="AH196" s="2">
        <v>33</v>
      </c>
      <c r="AI196" s="2">
        <f t="shared" ref="AI196:AK196" si="2642">_xlfn.RANK.EQ(AH196, AH$7:AH$375,0)</f>
        <v>201</v>
      </c>
      <c r="AJ196" s="4">
        <v>0.72699999999999998</v>
      </c>
      <c r="AK196" s="2">
        <f t="shared" si="2642"/>
        <v>176</v>
      </c>
      <c r="AL196" s="2">
        <v>30</v>
      </c>
      <c r="AM196" s="2">
        <f t="shared" ref="AM196:AO196" si="2643">_xlfn.RANK.EQ(AL196, AL$7:AL$375,0)</f>
        <v>151</v>
      </c>
      <c r="AN196" s="2">
        <v>79</v>
      </c>
      <c r="AO196" s="2">
        <f t="shared" si="2643"/>
        <v>146</v>
      </c>
      <c r="AP196" s="2">
        <v>109</v>
      </c>
      <c r="AQ196" s="2">
        <f t="shared" ref="AQ196:AS196" si="2644">_xlfn.RANK.EQ(AP196, AP$7:AP$375,0)</f>
        <v>148</v>
      </c>
      <c r="AR196" s="2">
        <v>49</v>
      </c>
      <c r="AS196" s="2">
        <f t="shared" si="2644"/>
        <v>220</v>
      </c>
      <c r="AT196" s="2">
        <v>41</v>
      </c>
      <c r="AU196" s="2">
        <f t="shared" ref="AU196:AW196" si="2645">_xlfn.RANK.EQ(AT196, AT$7:AT$375,0)</f>
        <v>171</v>
      </c>
      <c r="AV196" s="2">
        <v>22</v>
      </c>
      <c r="AW196" s="2">
        <f t="shared" si="2645"/>
        <v>197</v>
      </c>
      <c r="AX196" s="2">
        <v>6</v>
      </c>
      <c r="AY196" s="2">
        <f t="shared" ref="AY196:BA196" si="2646">_xlfn.RANK.EQ(AX196, AX$7:AX$375,0)</f>
        <v>156</v>
      </c>
      <c r="AZ196" s="2">
        <v>7</v>
      </c>
      <c r="BA196" s="2">
        <f t="shared" si="2646"/>
        <v>195</v>
      </c>
      <c r="BB196" s="2">
        <v>86</v>
      </c>
      <c r="BC196" s="2">
        <f t="shared" ref="BC196:BE196" si="2647">_xlfn.RANK.EQ(BB196, BB$7:BB$375,0)</f>
        <v>173</v>
      </c>
      <c r="BD196" s="2">
        <v>55</v>
      </c>
      <c r="BE196" s="2">
        <f t="shared" si="2647"/>
        <v>167</v>
      </c>
      <c r="BF196" s="2">
        <v>181</v>
      </c>
      <c r="BG196" s="2">
        <f t="shared" ref="BG196:BI196" si="2648">_xlfn.RANK.EQ(BF196, BF$7:BF$375,0)</f>
        <v>195</v>
      </c>
      <c r="BH196" s="2">
        <v>30</v>
      </c>
      <c r="BI196" s="2">
        <f t="shared" si="2648"/>
        <v>112</v>
      </c>
    </row>
    <row r="197" spans="1:61" x14ac:dyDescent="0.55000000000000004">
      <c r="A197" s="2">
        <v>190</v>
      </c>
      <c r="B197" s="2" t="s">
        <v>247</v>
      </c>
      <c r="C197" s="2" t="s">
        <v>74</v>
      </c>
      <c r="D197" s="2">
        <v>21</v>
      </c>
      <c r="E197" s="2">
        <f t="shared" si="1794"/>
        <v>314</v>
      </c>
      <c r="F197" s="2">
        <v>3</v>
      </c>
      <c r="G197" s="2">
        <f t="shared" ref="G197:I197" si="2649">_xlfn.RANK.EQ(F197, F$7:F$375,0)</f>
        <v>248</v>
      </c>
      <c r="H197" s="3">
        <v>17.912500000000001</v>
      </c>
      <c r="I197" s="2">
        <f t="shared" si="2649"/>
        <v>266</v>
      </c>
      <c r="J197" s="5">
        <v>0.85277777777777775</v>
      </c>
      <c r="K197" s="2">
        <f t="shared" ref="K197:M197" si="2650">_xlfn.RANK.EQ(J197, J$7:J$375,0)</f>
        <v>147</v>
      </c>
      <c r="L197" s="2">
        <v>233</v>
      </c>
      <c r="M197" s="2">
        <f t="shared" si="2650"/>
        <v>190</v>
      </c>
      <c r="N197" s="2">
        <v>86</v>
      </c>
      <c r="O197" s="2">
        <f t="shared" ref="O197:Q197" si="2651">_xlfn.RANK.EQ(N197, N$7:N$375,0)</f>
        <v>184</v>
      </c>
      <c r="P197" s="2">
        <v>164</v>
      </c>
      <c r="Q197" s="2">
        <f t="shared" si="2651"/>
        <v>217</v>
      </c>
      <c r="R197" s="4">
        <v>0.52400000000000002</v>
      </c>
      <c r="S197" s="2">
        <f t="shared" ref="S197:U197" si="2652">_xlfn.RANK.EQ(R197, R$7:R$375,0)</f>
        <v>52</v>
      </c>
      <c r="T197" s="2">
        <v>49</v>
      </c>
      <c r="U197" s="2">
        <f t="shared" si="2652"/>
        <v>176</v>
      </c>
      <c r="V197" s="2">
        <v>81</v>
      </c>
      <c r="W197" s="2">
        <f t="shared" ref="W197:Y197" si="2653">_xlfn.RANK.EQ(V197, V$7:V$375,0)</f>
        <v>205</v>
      </c>
      <c r="X197" s="4">
        <v>0.60499999999999998</v>
      </c>
      <c r="Y197" s="2">
        <f t="shared" si="2653"/>
        <v>52</v>
      </c>
      <c r="Z197" s="2">
        <v>37</v>
      </c>
      <c r="AA197" s="2">
        <f t="shared" ref="AA197:AC197" si="2654">_xlfn.RANK.EQ(Z197, Z$7:Z$375,0)</f>
        <v>152</v>
      </c>
      <c r="AB197" s="2">
        <v>83</v>
      </c>
      <c r="AC197" s="2">
        <f t="shared" si="2654"/>
        <v>190</v>
      </c>
      <c r="AD197" s="4">
        <v>0.44600000000000001</v>
      </c>
      <c r="AE197" s="2">
        <f t="shared" ref="AE197:AG197" si="2655">_xlfn.RANK.EQ(AD197, AD$7:AD$375,0)</f>
        <v>19</v>
      </c>
      <c r="AF197" s="2">
        <v>24</v>
      </c>
      <c r="AG197" s="2">
        <f t="shared" si="2655"/>
        <v>195</v>
      </c>
      <c r="AH197" s="2">
        <v>45</v>
      </c>
      <c r="AI197" s="2">
        <f t="shared" ref="AI197:AK197" si="2656">_xlfn.RANK.EQ(AH197, AH$7:AH$375,0)</f>
        <v>159</v>
      </c>
      <c r="AJ197" s="4">
        <v>0.53300000000000003</v>
      </c>
      <c r="AK197" s="2">
        <f t="shared" si="2656"/>
        <v>299</v>
      </c>
      <c r="AL197" s="2">
        <v>43</v>
      </c>
      <c r="AM197" s="2">
        <f t="shared" ref="AM197:AO197" si="2657">_xlfn.RANK.EQ(AL197, AL$7:AL$375,0)</f>
        <v>106</v>
      </c>
      <c r="AN197" s="2">
        <v>108</v>
      </c>
      <c r="AO197" s="2">
        <f t="shared" si="2657"/>
        <v>101</v>
      </c>
      <c r="AP197" s="2">
        <v>151</v>
      </c>
      <c r="AQ197" s="2">
        <f t="shared" ref="AQ197:AS197" si="2658">_xlfn.RANK.EQ(AP197, AP$7:AP$375,0)</f>
        <v>96</v>
      </c>
      <c r="AR197" s="2">
        <v>23</v>
      </c>
      <c r="AS197" s="2">
        <f t="shared" si="2658"/>
        <v>266</v>
      </c>
      <c r="AT197" s="2">
        <v>17</v>
      </c>
      <c r="AU197" s="2">
        <f t="shared" ref="AU197:AW197" si="2659">_xlfn.RANK.EQ(AT197, AT$7:AT$375,0)</f>
        <v>273</v>
      </c>
      <c r="AV197" s="2">
        <v>14</v>
      </c>
      <c r="AW197" s="2">
        <f t="shared" si="2659"/>
        <v>246</v>
      </c>
      <c r="AX197" s="2">
        <v>10</v>
      </c>
      <c r="AY197" s="2">
        <f t="shared" ref="AY197:BA197" si="2660">_xlfn.RANK.EQ(AX197, AX$7:AX$375,0)</f>
        <v>103</v>
      </c>
      <c r="AZ197" s="2">
        <v>5</v>
      </c>
      <c r="BA197" s="2">
        <f t="shared" si="2660"/>
        <v>227</v>
      </c>
      <c r="BB197" s="2">
        <v>51</v>
      </c>
      <c r="BC197" s="2">
        <f t="shared" ref="BC197:BE197" si="2661">_xlfn.RANK.EQ(BB197, BB$7:BB$375,0)</f>
        <v>262</v>
      </c>
      <c r="BD197" s="2">
        <v>44</v>
      </c>
      <c r="BE197" s="2">
        <f t="shared" si="2661"/>
        <v>189</v>
      </c>
      <c r="BF197" s="2">
        <v>303</v>
      </c>
      <c r="BG197" s="2">
        <f t="shared" ref="BG197:BI197" si="2662">_xlfn.RANK.EQ(BF197, BF$7:BF$375,0)</f>
        <v>141</v>
      </c>
      <c r="BH197" s="2">
        <v>-35</v>
      </c>
      <c r="BI197" s="2">
        <f t="shared" si="2662"/>
        <v>214</v>
      </c>
    </row>
    <row r="198" spans="1:61" x14ac:dyDescent="0.55000000000000004">
      <c r="A198" s="2">
        <v>192</v>
      </c>
      <c r="B198" s="2" t="s">
        <v>248</v>
      </c>
      <c r="C198" s="2" t="s">
        <v>32</v>
      </c>
      <c r="D198" s="2">
        <v>58</v>
      </c>
      <c r="E198" s="2">
        <f t="shared" si="1794"/>
        <v>78</v>
      </c>
      <c r="F198" s="2">
        <v>0</v>
      </c>
      <c r="G198" s="2">
        <f t="shared" ref="G198:I198" si="2663">_xlfn.RANK.EQ(F198, F$7:F$375,0)</f>
        <v>291</v>
      </c>
      <c r="H198" s="3">
        <v>39.844444444444441</v>
      </c>
      <c r="I198" s="2">
        <f t="shared" si="2663"/>
        <v>151</v>
      </c>
      <c r="J198" s="5">
        <v>0.68680555555555556</v>
      </c>
      <c r="K198" s="2">
        <f t="shared" ref="K198:M198" si="2664">_xlfn.RANK.EQ(J198, J$7:J$375,0)</f>
        <v>197</v>
      </c>
      <c r="L198" s="2">
        <v>228</v>
      </c>
      <c r="M198" s="2">
        <f t="shared" si="2664"/>
        <v>192</v>
      </c>
      <c r="N198" s="2">
        <v>80</v>
      </c>
      <c r="O198" s="2">
        <f t="shared" ref="O198:Q198" si="2665">_xlfn.RANK.EQ(N198, N$7:N$375,0)</f>
        <v>196</v>
      </c>
      <c r="P198" s="2">
        <v>252</v>
      </c>
      <c r="Q198" s="2">
        <f t="shared" si="2665"/>
        <v>161</v>
      </c>
      <c r="R198" s="4">
        <v>0.317</v>
      </c>
      <c r="S198" s="2">
        <f t="shared" ref="S198:U198" si="2666">_xlfn.RANK.EQ(R198, R$7:R$375,0)</f>
        <v>316</v>
      </c>
      <c r="T198" s="2">
        <v>35</v>
      </c>
      <c r="U198" s="2">
        <f t="shared" si="2666"/>
        <v>209</v>
      </c>
      <c r="V198" s="2">
        <v>102</v>
      </c>
      <c r="W198" s="2">
        <f t="shared" ref="W198:Y198" si="2667">_xlfn.RANK.EQ(V198, V$7:V$375,0)</f>
        <v>174</v>
      </c>
      <c r="X198" s="4">
        <v>0.34300000000000003</v>
      </c>
      <c r="Y198" s="2">
        <f t="shared" si="2667"/>
        <v>330</v>
      </c>
      <c r="Z198" s="2">
        <v>45</v>
      </c>
      <c r="AA198" s="2">
        <f t="shared" ref="AA198:AC198" si="2668">_xlfn.RANK.EQ(Z198, Z$7:Z$375,0)</f>
        <v>133</v>
      </c>
      <c r="AB198" s="2">
        <v>150</v>
      </c>
      <c r="AC198" s="2">
        <f t="shared" si="2668"/>
        <v>123</v>
      </c>
      <c r="AD198" s="4">
        <v>0.3</v>
      </c>
      <c r="AE198" s="2">
        <f t="shared" ref="AE198:AG198" si="2669">_xlfn.RANK.EQ(AD198, AD$7:AD$375,0)</f>
        <v>211</v>
      </c>
      <c r="AF198" s="2">
        <v>23</v>
      </c>
      <c r="AG198" s="2">
        <f t="shared" si="2669"/>
        <v>199</v>
      </c>
      <c r="AH198" s="2">
        <v>32</v>
      </c>
      <c r="AI198" s="2">
        <f t="shared" ref="AI198:AK198" si="2670">_xlfn.RANK.EQ(AH198, AH$7:AH$375,0)</f>
        <v>204</v>
      </c>
      <c r="AJ198" s="4">
        <v>0.71899999999999997</v>
      </c>
      <c r="AK198" s="2">
        <f t="shared" si="2670"/>
        <v>187</v>
      </c>
      <c r="AL198" s="2">
        <v>18</v>
      </c>
      <c r="AM198" s="2">
        <f t="shared" ref="AM198:AO198" si="2671">_xlfn.RANK.EQ(AL198, AL$7:AL$375,0)</f>
        <v>215</v>
      </c>
      <c r="AN198" s="2">
        <v>56</v>
      </c>
      <c r="AO198" s="2">
        <f t="shared" si="2671"/>
        <v>187</v>
      </c>
      <c r="AP198" s="2">
        <v>74</v>
      </c>
      <c r="AQ198" s="2">
        <f t="shared" ref="AQ198:AS198" si="2672">_xlfn.RANK.EQ(AP198, AP$7:AP$375,0)</f>
        <v>200</v>
      </c>
      <c r="AR198" s="2">
        <v>123</v>
      </c>
      <c r="AS198" s="2">
        <f t="shared" si="2672"/>
        <v>94</v>
      </c>
      <c r="AT198" s="2">
        <v>41</v>
      </c>
      <c r="AU198" s="2">
        <f t="shared" ref="AU198:AW198" si="2673">_xlfn.RANK.EQ(AT198, AT$7:AT$375,0)</f>
        <v>171</v>
      </c>
      <c r="AV198" s="2">
        <v>40</v>
      </c>
      <c r="AW198" s="2">
        <f t="shared" si="2673"/>
        <v>104</v>
      </c>
      <c r="AX198" s="2">
        <v>0</v>
      </c>
      <c r="AY198" s="2">
        <f t="shared" ref="AY198:BA198" si="2674">_xlfn.RANK.EQ(AX198, AX$7:AX$375,0)</f>
        <v>298</v>
      </c>
      <c r="AZ198" s="2">
        <v>9</v>
      </c>
      <c r="BA198" s="2">
        <f t="shared" si="2674"/>
        <v>160</v>
      </c>
      <c r="BB198" s="2">
        <v>51</v>
      </c>
      <c r="BC198" s="2">
        <f t="shared" ref="BC198:BE198" si="2675">_xlfn.RANK.EQ(BB198, BB$7:BB$375,0)</f>
        <v>262</v>
      </c>
      <c r="BD198" s="2">
        <v>53</v>
      </c>
      <c r="BE198" s="2">
        <f t="shared" si="2675"/>
        <v>170</v>
      </c>
      <c r="BF198" s="2">
        <v>236</v>
      </c>
      <c r="BG198" s="2">
        <f t="shared" ref="BG198:BI198" si="2676">_xlfn.RANK.EQ(BF198, BF$7:BF$375,0)</f>
        <v>172</v>
      </c>
      <c r="BH198" s="2">
        <v>-44</v>
      </c>
      <c r="BI198" s="2">
        <f t="shared" si="2676"/>
        <v>225</v>
      </c>
    </row>
    <row r="199" spans="1:61" x14ac:dyDescent="0.55000000000000004">
      <c r="A199" s="2">
        <v>193</v>
      </c>
      <c r="B199" s="2" t="s">
        <v>249</v>
      </c>
      <c r="C199" s="2" t="s">
        <v>52</v>
      </c>
      <c r="D199" s="2">
        <v>47</v>
      </c>
      <c r="E199" s="2">
        <f t="shared" si="1794"/>
        <v>207</v>
      </c>
      <c r="F199" s="2">
        <v>6</v>
      </c>
      <c r="G199" s="2">
        <f t="shared" ref="G199:I199" si="2677">_xlfn.RANK.EQ(F199, F$7:F$375,0)</f>
        <v>228</v>
      </c>
      <c r="H199" s="3">
        <v>32.600694444444443</v>
      </c>
      <c r="I199" s="2">
        <f t="shared" si="2677"/>
        <v>192</v>
      </c>
      <c r="J199" s="5">
        <v>0.69305555555555554</v>
      </c>
      <c r="K199" s="2">
        <f t="shared" ref="K199:M199" si="2678">_xlfn.RANK.EQ(J199, J$7:J$375,0)</f>
        <v>196</v>
      </c>
      <c r="L199" s="2">
        <v>225</v>
      </c>
      <c r="M199" s="2">
        <f t="shared" si="2678"/>
        <v>193</v>
      </c>
      <c r="N199" s="2">
        <v>83</v>
      </c>
      <c r="O199" s="2">
        <f t="shared" ref="O199:Q199" si="2679">_xlfn.RANK.EQ(N199, N$7:N$375,0)</f>
        <v>189</v>
      </c>
      <c r="P199" s="2">
        <v>226</v>
      </c>
      <c r="Q199" s="2">
        <f t="shared" si="2679"/>
        <v>180</v>
      </c>
      <c r="R199" s="4">
        <v>0.36699999999999999</v>
      </c>
      <c r="S199" s="2">
        <f t="shared" ref="S199:U199" si="2680">_xlfn.RANK.EQ(R199, R$7:R$375,0)</f>
        <v>249</v>
      </c>
      <c r="T199" s="2">
        <v>40</v>
      </c>
      <c r="U199" s="2">
        <f t="shared" si="2680"/>
        <v>196</v>
      </c>
      <c r="V199" s="2">
        <v>99</v>
      </c>
      <c r="W199" s="2">
        <f t="shared" ref="W199:Y199" si="2681">_xlfn.RANK.EQ(V199, V$7:V$375,0)</f>
        <v>177</v>
      </c>
      <c r="X199" s="4">
        <v>0.40400000000000003</v>
      </c>
      <c r="Y199" s="2">
        <f t="shared" si="2681"/>
        <v>290</v>
      </c>
      <c r="Z199" s="2">
        <v>43</v>
      </c>
      <c r="AA199" s="2">
        <f t="shared" ref="AA199:AC199" si="2682">_xlfn.RANK.EQ(Z199, Z$7:Z$375,0)</f>
        <v>140</v>
      </c>
      <c r="AB199" s="2">
        <v>127</v>
      </c>
      <c r="AC199" s="2">
        <f t="shared" si="2682"/>
        <v>144</v>
      </c>
      <c r="AD199" s="4">
        <v>0.33900000000000002</v>
      </c>
      <c r="AE199" s="2">
        <f t="shared" ref="AE199:AG199" si="2683">_xlfn.RANK.EQ(AD199, AD$7:AD$375,0)</f>
        <v>138</v>
      </c>
      <c r="AF199" s="2">
        <v>16</v>
      </c>
      <c r="AG199" s="2">
        <f t="shared" si="2683"/>
        <v>233</v>
      </c>
      <c r="AH199" s="2">
        <v>20</v>
      </c>
      <c r="AI199" s="2">
        <f t="shared" ref="AI199:AK199" si="2684">_xlfn.RANK.EQ(AH199, AH$7:AH$375,0)</f>
        <v>244</v>
      </c>
      <c r="AJ199" s="4">
        <v>0.8</v>
      </c>
      <c r="AK199" s="2">
        <f t="shared" si="2684"/>
        <v>85</v>
      </c>
      <c r="AL199" s="2">
        <v>34</v>
      </c>
      <c r="AM199" s="2">
        <f t="shared" ref="AM199:AO199" si="2685">_xlfn.RANK.EQ(AL199, AL$7:AL$375,0)</f>
        <v>136</v>
      </c>
      <c r="AN199" s="2">
        <v>101</v>
      </c>
      <c r="AO199" s="2">
        <f t="shared" si="2685"/>
        <v>107</v>
      </c>
      <c r="AP199" s="2">
        <v>135</v>
      </c>
      <c r="AQ199" s="2">
        <f t="shared" ref="AQ199:AS199" si="2686">_xlfn.RANK.EQ(AP199, AP$7:AP$375,0)</f>
        <v>114</v>
      </c>
      <c r="AR199" s="2">
        <v>77</v>
      </c>
      <c r="AS199" s="2">
        <f t="shared" si="2686"/>
        <v>167</v>
      </c>
      <c r="AT199" s="2">
        <v>31</v>
      </c>
      <c r="AU199" s="2">
        <f t="shared" ref="AU199:AW199" si="2687">_xlfn.RANK.EQ(AT199, AT$7:AT$375,0)</f>
        <v>208</v>
      </c>
      <c r="AV199" s="2">
        <v>37</v>
      </c>
      <c r="AW199" s="2">
        <f t="shared" si="2687"/>
        <v>120</v>
      </c>
      <c r="AX199" s="2">
        <v>9</v>
      </c>
      <c r="AY199" s="2">
        <f t="shared" ref="AY199:BA199" si="2688">_xlfn.RANK.EQ(AX199, AX$7:AX$375,0)</f>
        <v>110</v>
      </c>
      <c r="AZ199" s="2">
        <v>10</v>
      </c>
      <c r="BA199" s="2">
        <f t="shared" si="2688"/>
        <v>144</v>
      </c>
      <c r="BB199" s="2">
        <v>49</v>
      </c>
      <c r="BC199" s="2">
        <f t="shared" ref="BC199:BE199" si="2689">_xlfn.RANK.EQ(BB199, BB$7:BB$375,0)</f>
        <v>266</v>
      </c>
      <c r="BD199" s="2">
        <v>21</v>
      </c>
      <c r="BE199" s="2">
        <f t="shared" si="2689"/>
        <v>262</v>
      </c>
      <c r="BF199" s="2">
        <v>267</v>
      </c>
      <c r="BG199" s="2">
        <f t="shared" ref="BG199:BI199" si="2690">_xlfn.RANK.EQ(BF199, BF$7:BF$375,0)</f>
        <v>159</v>
      </c>
      <c r="BH199" s="2">
        <v>116</v>
      </c>
      <c r="BI199" s="2">
        <f t="shared" si="2690"/>
        <v>81</v>
      </c>
    </row>
    <row r="200" spans="1:61" x14ac:dyDescent="0.55000000000000004">
      <c r="A200" s="2">
        <v>194</v>
      </c>
      <c r="B200" s="2" t="s">
        <v>250</v>
      </c>
      <c r="C200" s="2" t="s">
        <v>79</v>
      </c>
      <c r="D200" s="2">
        <v>44</v>
      </c>
      <c r="E200" s="2">
        <f t="shared" ref="E200:E263" si="2691">_xlfn.RANK.EQ(D200, D$7:D$375,0)</f>
        <v>224</v>
      </c>
      <c r="F200" s="2">
        <v>10</v>
      </c>
      <c r="G200" s="2">
        <f t="shared" ref="G200:I200" si="2692">_xlfn.RANK.EQ(F200, F$7:F$375,0)</f>
        <v>200</v>
      </c>
      <c r="H200" s="3">
        <v>27.143750000000001</v>
      </c>
      <c r="I200" s="2">
        <f t="shared" si="2692"/>
        <v>220</v>
      </c>
      <c r="J200" s="5">
        <v>0.6166666666666667</v>
      </c>
      <c r="K200" s="2">
        <f t="shared" ref="K200:M200" si="2693">_xlfn.RANK.EQ(J200, J$7:J$375,0)</f>
        <v>223</v>
      </c>
      <c r="L200" s="2">
        <v>223</v>
      </c>
      <c r="M200" s="2">
        <f t="shared" si="2693"/>
        <v>194</v>
      </c>
      <c r="N200" s="2">
        <v>93</v>
      </c>
      <c r="O200" s="2">
        <f t="shared" ref="O200:Q200" si="2694">_xlfn.RANK.EQ(N200, N$7:N$375,0)</f>
        <v>178</v>
      </c>
      <c r="P200" s="2">
        <v>214</v>
      </c>
      <c r="Q200" s="2">
        <f t="shared" si="2694"/>
        <v>189</v>
      </c>
      <c r="R200" s="4">
        <v>0.435</v>
      </c>
      <c r="S200" s="2">
        <f t="shared" ref="S200:U200" si="2695">_xlfn.RANK.EQ(R200, R$7:R$375,0)</f>
        <v>139</v>
      </c>
      <c r="T200" s="2">
        <v>77</v>
      </c>
      <c r="U200" s="2">
        <f t="shared" si="2695"/>
        <v>125</v>
      </c>
      <c r="V200" s="2">
        <v>161</v>
      </c>
      <c r="W200" s="2">
        <f t="shared" ref="W200:Y200" si="2696">_xlfn.RANK.EQ(V200, V$7:V$375,0)</f>
        <v>127</v>
      </c>
      <c r="X200" s="4">
        <v>0.47799999999999998</v>
      </c>
      <c r="Y200" s="2">
        <f t="shared" si="2696"/>
        <v>209</v>
      </c>
      <c r="Z200" s="2">
        <v>16</v>
      </c>
      <c r="AA200" s="2">
        <f t="shared" ref="AA200:AC200" si="2697">_xlfn.RANK.EQ(Z200, Z$7:Z$375,0)</f>
        <v>222</v>
      </c>
      <c r="AB200" s="2">
        <v>53</v>
      </c>
      <c r="AC200" s="2">
        <f t="shared" si="2697"/>
        <v>233</v>
      </c>
      <c r="AD200" s="4">
        <v>0.30199999999999999</v>
      </c>
      <c r="AE200" s="2">
        <f t="shared" ref="AE200:AG200" si="2698">_xlfn.RANK.EQ(AD200, AD$7:AD$375,0)</f>
        <v>207</v>
      </c>
      <c r="AF200" s="2">
        <v>21</v>
      </c>
      <c r="AG200" s="2">
        <f t="shared" si="2698"/>
        <v>206</v>
      </c>
      <c r="AH200" s="2">
        <v>26</v>
      </c>
      <c r="AI200" s="2">
        <f t="shared" ref="AI200:AK200" si="2699">_xlfn.RANK.EQ(AH200, AH$7:AH$375,0)</f>
        <v>222</v>
      </c>
      <c r="AJ200" s="4">
        <v>0.80800000000000005</v>
      </c>
      <c r="AK200" s="2">
        <f t="shared" si="2699"/>
        <v>77</v>
      </c>
      <c r="AL200" s="2">
        <v>16</v>
      </c>
      <c r="AM200" s="2">
        <f t="shared" ref="AM200:AO200" si="2700">_xlfn.RANK.EQ(AL200, AL$7:AL$375,0)</f>
        <v>233</v>
      </c>
      <c r="AN200" s="2">
        <v>60</v>
      </c>
      <c r="AO200" s="2">
        <f t="shared" si="2700"/>
        <v>182</v>
      </c>
      <c r="AP200" s="2">
        <v>76</v>
      </c>
      <c r="AQ200" s="2">
        <f t="shared" ref="AQ200:AS200" si="2701">_xlfn.RANK.EQ(AP200, AP$7:AP$375,0)</f>
        <v>197</v>
      </c>
      <c r="AR200" s="2">
        <v>141</v>
      </c>
      <c r="AS200" s="2">
        <f t="shared" si="2701"/>
        <v>82</v>
      </c>
      <c r="AT200" s="2">
        <v>83</v>
      </c>
      <c r="AU200" s="2">
        <f t="shared" ref="AU200:AW200" si="2702">_xlfn.RANK.EQ(AT200, AT$7:AT$375,0)</f>
        <v>74</v>
      </c>
      <c r="AV200" s="2">
        <v>27</v>
      </c>
      <c r="AW200" s="2">
        <f t="shared" si="2702"/>
        <v>163</v>
      </c>
      <c r="AX200" s="2">
        <v>0</v>
      </c>
      <c r="AY200" s="2">
        <f t="shared" ref="AY200:BA200" si="2703">_xlfn.RANK.EQ(AX200, AX$7:AX$375,0)</f>
        <v>298</v>
      </c>
      <c r="AZ200" s="2">
        <v>12</v>
      </c>
      <c r="BA200" s="2">
        <f t="shared" si="2703"/>
        <v>124</v>
      </c>
      <c r="BB200" s="2">
        <v>44</v>
      </c>
      <c r="BC200" s="2">
        <f t="shared" ref="BC200:BE200" si="2704">_xlfn.RANK.EQ(BB200, BB$7:BB$375,0)</f>
        <v>281</v>
      </c>
      <c r="BD200" s="2">
        <v>51</v>
      </c>
      <c r="BE200" s="2">
        <f t="shared" si="2704"/>
        <v>173</v>
      </c>
      <c r="BF200" s="2">
        <v>252</v>
      </c>
      <c r="BG200" s="2">
        <f t="shared" ref="BG200:BI200" si="2705">_xlfn.RANK.EQ(BF200, BF$7:BF$375,0)</f>
        <v>163</v>
      </c>
      <c r="BH200" s="2">
        <v>-214</v>
      </c>
      <c r="BI200" s="2">
        <f t="shared" si="2705"/>
        <v>341</v>
      </c>
    </row>
    <row r="201" spans="1:61" x14ac:dyDescent="0.55000000000000004">
      <c r="A201" s="2">
        <v>195</v>
      </c>
      <c r="B201" s="2" t="s">
        <v>251</v>
      </c>
      <c r="C201" s="2" t="s">
        <v>106</v>
      </c>
      <c r="D201" s="2">
        <v>50</v>
      </c>
      <c r="E201" s="2">
        <f t="shared" si="2691"/>
        <v>191</v>
      </c>
      <c r="F201" s="2">
        <v>10</v>
      </c>
      <c r="G201" s="2">
        <f t="shared" ref="G201:I201" si="2706">_xlfn.RANK.EQ(F201, F$7:F$375,0)</f>
        <v>200</v>
      </c>
      <c r="H201" s="3">
        <v>20.482638888888889</v>
      </c>
      <c r="I201" s="2">
        <f t="shared" si="2706"/>
        <v>250</v>
      </c>
      <c r="J201" s="5">
        <v>0.40902777777777777</v>
      </c>
      <c r="K201" s="2">
        <f t="shared" ref="K201:M201" si="2707">_xlfn.RANK.EQ(J201, J$7:J$375,0)</f>
        <v>277</v>
      </c>
      <c r="L201" s="2">
        <v>222</v>
      </c>
      <c r="M201" s="2">
        <f t="shared" si="2707"/>
        <v>195</v>
      </c>
      <c r="N201" s="2">
        <v>75</v>
      </c>
      <c r="O201" s="2">
        <f t="shared" ref="O201:Q201" si="2708">_xlfn.RANK.EQ(N201, N$7:N$375,0)</f>
        <v>198</v>
      </c>
      <c r="P201" s="2">
        <v>185</v>
      </c>
      <c r="Q201" s="2">
        <f t="shared" si="2708"/>
        <v>206</v>
      </c>
      <c r="R201" s="4">
        <v>0.40500000000000003</v>
      </c>
      <c r="S201" s="2">
        <f t="shared" ref="S201:U201" si="2709">_xlfn.RANK.EQ(R201, R$7:R$375,0)</f>
        <v>190</v>
      </c>
      <c r="T201" s="2">
        <v>14</v>
      </c>
      <c r="U201" s="2">
        <f t="shared" si="2709"/>
        <v>278</v>
      </c>
      <c r="V201" s="2">
        <v>27</v>
      </c>
      <c r="W201" s="2">
        <f t="shared" ref="W201:Y201" si="2710">_xlfn.RANK.EQ(V201, V$7:V$375,0)</f>
        <v>287</v>
      </c>
      <c r="X201" s="4">
        <v>0.51900000000000002</v>
      </c>
      <c r="Y201" s="2">
        <f t="shared" si="2710"/>
        <v>154</v>
      </c>
      <c r="Z201" s="2">
        <v>61</v>
      </c>
      <c r="AA201" s="2">
        <f t="shared" ref="AA201:AC201" si="2711">_xlfn.RANK.EQ(Z201, Z$7:Z$375,0)</f>
        <v>93</v>
      </c>
      <c r="AB201" s="2">
        <v>158</v>
      </c>
      <c r="AC201" s="2">
        <f t="shared" si="2711"/>
        <v>115</v>
      </c>
      <c r="AD201" s="4">
        <v>0.38600000000000001</v>
      </c>
      <c r="AE201" s="2">
        <f t="shared" ref="AE201:AG201" si="2712">_xlfn.RANK.EQ(AD201, AD$7:AD$375,0)</f>
        <v>56</v>
      </c>
      <c r="AF201" s="2">
        <v>11</v>
      </c>
      <c r="AG201" s="2">
        <f t="shared" si="2712"/>
        <v>268</v>
      </c>
      <c r="AH201" s="2">
        <v>15</v>
      </c>
      <c r="AI201" s="2">
        <f t="shared" ref="AI201:AK201" si="2713">_xlfn.RANK.EQ(AH201, AH$7:AH$375,0)</f>
        <v>267</v>
      </c>
      <c r="AJ201" s="4">
        <v>0.73299999999999998</v>
      </c>
      <c r="AK201" s="2">
        <f t="shared" si="2713"/>
        <v>169</v>
      </c>
      <c r="AL201" s="2">
        <v>5</v>
      </c>
      <c r="AM201" s="2">
        <f t="shared" ref="AM201:AO201" si="2714">_xlfn.RANK.EQ(AL201, AL$7:AL$375,0)</f>
        <v>298</v>
      </c>
      <c r="AN201" s="2">
        <v>19</v>
      </c>
      <c r="AO201" s="2">
        <f t="shared" si="2714"/>
        <v>290</v>
      </c>
      <c r="AP201" s="2">
        <v>24</v>
      </c>
      <c r="AQ201" s="2">
        <f t="shared" ref="AQ201:AS201" si="2715">_xlfn.RANK.EQ(AP201, AP$7:AP$375,0)</f>
        <v>299</v>
      </c>
      <c r="AR201" s="2">
        <v>18</v>
      </c>
      <c r="AS201" s="2">
        <f t="shared" si="2715"/>
        <v>285</v>
      </c>
      <c r="AT201" s="2">
        <v>18</v>
      </c>
      <c r="AU201" s="2">
        <f t="shared" ref="AU201:AW201" si="2716">_xlfn.RANK.EQ(AT201, AT$7:AT$375,0)</f>
        <v>262</v>
      </c>
      <c r="AV201" s="2">
        <v>4</v>
      </c>
      <c r="AW201" s="2">
        <f t="shared" si="2716"/>
        <v>312</v>
      </c>
      <c r="AX201" s="2">
        <v>1</v>
      </c>
      <c r="AY201" s="2">
        <f t="shared" ref="AY201:BA201" si="2717">_xlfn.RANK.EQ(AX201, AX$7:AX$375,0)</f>
        <v>265</v>
      </c>
      <c r="AZ201" s="2">
        <v>1</v>
      </c>
      <c r="BA201" s="2">
        <f t="shared" si="2717"/>
        <v>308</v>
      </c>
      <c r="BB201" s="2">
        <v>52</v>
      </c>
      <c r="BC201" s="2">
        <f t="shared" ref="BC201:BE201" si="2718">_xlfn.RANK.EQ(BB201, BB$7:BB$375,0)</f>
        <v>260</v>
      </c>
      <c r="BD201" s="2">
        <v>12</v>
      </c>
      <c r="BE201" s="2">
        <f t="shared" si="2718"/>
        <v>293</v>
      </c>
      <c r="BF201" s="2">
        <v>96</v>
      </c>
      <c r="BG201" s="2">
        <f t="shared" ref="BG201:BI201" si="2719">_xlfn.RANK.EQ(BF201, BF$7:BF$375,0)</f>
        <v>244</v>
      </c>
      <c r="BH201" s="2">
        <v>-37</v>
      </c>
      <c r="BI201" s="2">
        <f t="shared" si="2719"/>
        <v>217</v>
      </c>
    </row>
    <row r="202" spans="1:61" x14ac:dyDescent="0.55000000000000004">
      <c r="A202" s="2">
        <v>196</v>
      </c>
      <c r="B202" s="2" t="s">
        <v>252</v>
      </c>
      <c r="C202" s="2" t="s">
        <v>89</v>
      </c>
      <c r="D202" s="2">
        <v>48</v>
      </c>
      <c r="E202" s="2">
        <f t="shared" si="2691"/>
        <v>201</v>
      </c>
      <c r="F202" s="2">
        <v>17</v>
      </c>
      <c r="G202" s="2">
        <f t="shared" ref="G202:I202" si="2720">_xlfn.RANK.EQ(F202, F$7:F$375,0)</f>
        <v>166</v>
      </c>
      <c r="H202" s="3">
        <v>34.5</v>
      </c>
      <c r="I202" s="2">
        <f t="shared" si="2720"/>
        <v>176</v>
      </c>
      <c r="J202" s="5">
        <v>0.71875</v>
      </c>
      <c r="K202" s="2">
        <f t="shared" ref="K202:M202" si="2721">_xlfn.RANK.EQ(J202, J$7:J$375,0)</f>
        <v>186</v>
      </c>
      <c r="L202" s="2">
        <v>220</v>
      </c>
      <c r="M202" s="2">
        <f t="shared" si="2721"/>
        <v>196</v>
      </c>
      <c r="N202" s="2">
        <v>83</v>
      </c>
      <c r="O202" s="2">
        <f t="shared" ref="O202:Q202" si="2722">_xlfn.RANK.EQ(N202, N$7:N$375,0)</f>
        <v>189</v>
      </c>
      <c r="P202" s="2">
        <v>202</v>
      </c>
      <c r="Q202" s="2">
        <f t="shared" si="2722"/>
        <v>197</v>
      </c>
      <c r="R202" s="4">
        <v>0.41099999999999998</v>
      </c>
      <c r="S202" s="2">
        <f t="shared" ref="S202:U202" si="2723">_xlfn.RANK.EQ(R202, R$7:R$375,0)</f>
        <v>181</v>
      </c>
      <c r="T202" s="2">
        <v>77</v>
      </c>
      <c r="U202" s="2">
        <f t="shared" si="2723"/>
        <v>125</v>
      </c>
      <c r="V202" s="2">
        <v>163</v>
      </c>
      <c r="W202" s="2">
        <f t="shared" ref="W202:Y202" si="2724">_xlfn.RANK.EQ(V202, V$7:V$375,0)</f>
        <v>125</v>
      </c>
      <c r="X202" s="4">
        <v>0.47199999999999998</v>
      </c>
      <c r="Y202" s="2">
        <f t="shared" si="2724"/>
        <v>219</v>
      </c>
      <c r="Z202" s="2">
        <v>6</v>
      </c>
      <c r="AA202" s="2">
        <f t="shared" ref="AA202:AC202" si="2725">_xlfn.RANK.EQ(Z202, Z$7:Z$375,0)</f>
        <v>274</v>
      </c>
      <c r="AB202" s="2">
        <v>39</v>
      </c>
      <c r="AC202" s="2">
        <f t="shared" si="2725"/>
        <v>253</v>
      </c>
      <c r="AD202" s="4">
        <v>0.154</v>
      </c>
      <c r="AE202" s="2">
        <f t="shared" ref="AE202:AG202" si="2726">_xlfn.RANK.EQ(AD202, AD$7:AD$375,0)</f>
        <v>318</v>
      </c>
      <c r="AF202" s="2">
        <v>48</v>
      </c>
      <c r="AG202" s="2">
        <f t="shared" si="2726"/>
        <v>132</v>
      </c>
      <c r="AH202" s="2">
        <v>85</v>
      </c>
      <c r="AI202" s="2">
        <f t="shared" ref="AI202:AK202" si="2727">_xlfn.RANK.EQ(AH202, AH$7:AH$375,0)</f>
        <v>108</v>
      </c>
      <c r="AJ202" s="4">
        <v>0.56499999999999995</v>
      </c>
      <c r="AK202" s="2">
        <f t="shared" si="2727"/>
        <v>290</v>
      </c>
      <c r="AL202" s="2">
        <v>50</v>
      </c>
      <c r="AM202" s="2">
        <f t="shared" ref="AM202:AO202" si="2728">_xlfn.RANK.EQ(AL202, AL$7:AL$375,0)</f>
        <v>90</v>
      </c>
      <c r="AN202" s="2">
        <v>83</v>
      </c>
      <c r="AO202" s="2">
        <f t="shared" si="2728"/>
        <v>138</v>
      </c>
      <c r="AP202" s="2">
        <v>133</v>
      </c>
      <c r="AQ202" s="2">
        <f t="shared" ref="AQ202:AS202" si="2729">_xlfn.RANK.EQ(AP202, AP$7:AP$375,0)</f>
        <v>117</v>
      </c>
      <c r="AR202" s="2">
        <v>97</v>
      </c>
      <c r="AS202" s="2">
        <f t="shared" si="2729"/>
        <v>133</v>
      </c>
      <c r="AT202" s="2">
        <v>59</v>
      </c>
      <c r="AU202" s="2">
        <f t="shared" ref="AU202:AW202" si="2730">_xlfn.RANK.EQ(AT202, AT$7:AT$375,0)</f>
        <v>124</v>
      </c>
      <c r="AV202" s="2">
        <v>35</v>
      </c>
      <c r="AW202" s="2">
        <f t="shared" si="2730"/>
        <v>126</v>
      </c>
      <c r="AX202" s="2">
        <v>9</v>
      </c>
      <c r="AY202" s="2">
        <f t="shared" ref="AY202:BA202" si="2731">_xlfn.RANK.EQ(AX202, AX$7:AX$375,0)</f>
        <v>110</v>
      </c>
      <c r="AZ202" s="2">
        <v>15</v>
      </c>
      <c r="BA202" s="2">
        <f t="shared" si="2731"/>
        <v>87</v>
      </c>
      <c r="BB202" s="2">
        <v>124</v>
      </c>
      <c r="BC202" s="2">
        <f t="shared" ref="BC202:BE202" si="2732">_xlfn.RANK.EQ(BB202, BB$7:BB$375,0)</f>
        <v>68</v>
      </c>
      <c r="BD202" s="2">
        <v>79</v>
      </c>
      <c r="BE202" s="2">
        <f t="shared" si="2732"/>
        <v>136</v>
      </c>
      <c r="BF202" s="2">
        <v>219</v>
      </c>
      <c r="BG202" s="2">
        <f t="shared" ref="BG202:BI202" si="2733">_xlfn.RANK.EQ(BF202, BF$7:BF$375,0)</f>
        <v>177</v>
      </c>
      <c r="BH202" s="2">
        <v>134</v>
      </c>
      <c r="BI202" s="2">
        <f t="shared" si="2733"/>
        <v>72</v>
      </c>
    </row>
    <row r="203" spans="1:61" x14ac:dyDescent="0.55000000000000004">
      <c r="A203" s="2">
        <v>197</v>
      </c>
      <c r="B203" s="2" t="s">
        <v>253</v>
      </c>
      <c r="C203" s="2" t="s">
        <v>42</v>
      </c>
      <c r="D203" s="2">
        <v>42</v>
      </c>
      <c r="E203" s="2">
        <f t="shared" si="2691"/>
        <v>239</v>
      </c>
      <c r="F203" s="2">
        <v>14</v>
      </c>
      <c r="G203" s="2">
        <f t="shared" ref="G203:I203" si="2734">_xlfn.RANK.EQ(F203, F$7:F$375,0)</f>
        <v>182</v>
      </c>
      <c r="H203" s="3">
        <v>29.861111111111111</v>
      </c>
      <c r="I203" s="2">
        <f t="shared" si="2734"/>
        <v>204</v>
      </c>
      <c r="J203" s="5">
        <v>0.7104166666666667</v>
      </c>
      <c r="K203" s="2">
        <f t="shared" ref="K203:M203" si="2735">_xlfn.RANK.EQ(J203, J$7:J$375,0)</f>
        <v>190</v>
      </c>
      <c r="L203" s="2">
        <v>219</v>
      </c>
      <c r="M203" s="2">
        <f t="shared" si="2735"/>
        <v>197</v>
      </c>
      <c r="N203" s="2">
        <v>83</v>
      </c>
      <c r="O203" s="2">
        <f t="shared" ref="O203:Q203" si="2736">_xlfn.RANK.EQ(N203, N$7:N$375,0)</f>
        <v>189</v>
      </c>
      <c r="P203" s="2">
        <v>225</v>
      </c>
      <c r="Q203" s="2">
        <f t="shared" si="2736"/>
        <v>181</v>
      </c>
      <c r="R203" s="4">
        <v>0.36899999999999999</v>
      </c>
      <c r="S203" s="2">
        <f t="shared" ref="S203:U203" si="2737">_xlfn.RANK.EQ(R203, R$7:R$375,0)</f>
        <v>245</v>
      </c>
      <c r="T203" s="2">
        <v>60</v>
      </c>
      <c r="U203" s="2">
        <f t="shared" si="2737"/>
        <v>155</v>
      </c>
      <c r="V203" s="2">
        <v>127</v>
      </c>
      <c r="W203" s="2">
        <f t="shared" ref="W203:Y203" si="2738">_xlfn.RANK.EQ(V203, V$7:V$375,0)</f>
        <v>154</v>
      </c>
      <c r="X203" s="4">
        <v>0.47199999999999998</v>
      </c>
      <c r="Y203" s="2">
        <f t="shared" si="2738"/>
        <v>219</v>
      </c>
      <c r="Z203" s="2">
        <v>23</v>
      </c>
      <c r="AA203" s="2">
        <f t="shared" ref="AA203:AC203" si="2739">_xlfn.RANK.EQ(Z203, Z$7:Z$375,0)</f>
        <v>200</v>
      </c>
      <c r="AB203" s="2">
        <v>98</v>
      </c>
      <c r="AC203" s="2">
        <f t="shared" si="2739"/>
        <v>174</v>
      </c>
      <c r="AD203" s="4">
        <v>0.23499999999999999</v>
      </c>
      <c r="AE203" s="2">
        <f t="shared" ref="AE203:AG203" si="2740">_xlfn.RANK.EQ(AD203, AD$7:AD$375,0)</f>
        <v>278</v>
      </c>
      <c r="AF203" s="2">
        <v>30</v>
      </c>
      <c r="AG203" s="2">
        <f t="shared" si="2740"/>
        <v>168</v>
      </c>
      <c r="AH203" s="2">
        <v>38</v>
      </c>
      <c r="AI203" s="2">
        <f t="shared" ref="AI203:AK203" si="2741">_xlfn.RANK.EQ(AH203, AH$7:AH$375,0)</f>
        <v>181</v>
      </c>
      <c r="AJ203" s="4">
        <v>0.78900000000000003</v>
      </c>
      <c r="AK203" s="2">
        <f t="shared" si="2741"/>
        <v>100</v>
      </c>
      <c r="AL203" s="2">
        <v>17</v>
      </c>
      <c r="AM203" s="2">
        <f t="shared" ref="AM203:AO203" si="2742">_xlfn.RANK.EQ(AL203, AL$7:AL$375,0)</f>
        <v>226</v>
      </c>
      <c r="AN203" s="2">
        <v>44</v>
      </c>
      <c r="AO203" s="2">
        <f t="shared" si="2742"/>
        <v>214</v>
      </c>
      <c r="AP203" s="2">
        <v>61</v>
      </c>
      <c r="AQ203" s="2">
        <f t="shared" ref="AQ203:AS203" si="2743">_xlfn.RANK.EQ(AP203, AP$7:AP$375,0)</f>
        <v>225</v>
      </c>
      <c r="AR203" s="2">
        <v>111</v>
      </c>
      <c r="AS203" s="2">
        <f t="shared" si="2743"/>
        <v>111</v>
      </c>
      <c r="AT203" s="2">
        <v>56</v>
      </c>
      <c r="AU203" s="2">
        <f t="shared" ref="AU203:AW203" si="2744">_xlfn.RANK.EQ(AT203, AT$7:AT$375,0)</f>
        <v>130</v>
      </c>
      <c r="AV203" s="2">
        <v>26</v>
      </c>
      <c r="AW203" s="2">
        <f t="shared" si="2744"/>
        <v>168</v>
      </c>
      <c r="AX203" s="2">
        <v>5</v>
      </c>
      <c r="AY203" s="2">
        <f t="shared" ref="AY203:BA203" si="2745">_xlfn.RANK.EQ(AX203, AX$7:AX$375,0)</f>
        <v>169</v>
      </c>
      <c r="AZ203" s="2">
        <v>10</v>
      </c>
      <c r="BA203" s="2">
        <f t="shared" si="2745"/>
        <v>144</v>
      </c>
      <c r="BB203" s="2">
        <v>73</v>
      </c>
      <c r="BC203" s="2">
        <f t="shared" ref="BC203:BE203" si="2746">_xlfn.RANK.EQ(BB203, BB$7:BB$375,0)</f>
        <v>206</v>
      </c>
      <c r="BD203" s="2">
        <v>38</v>
      </c>
      <c r="BE203" s="2">
        <f t="shared" si="2746"/>
        <v>210</v>
      </c>
      <c r="BF203" s="2">
        <v>171</v>
      </c>
      <c r="BG203" s="2">
        <f t="shared" ref="BG203:BI203" si="2747">_xlfn.RANK.EQ(BF203, BF$7:BF$375,0)</f>
        <v>200</v>
      </c>
      <c r="BH203" s="2">
        <v>-9</v>
      </c>
      <c r="BI203" s="2">
        <f t="shared" si="2747"/>
        <v>168</v>
      </c>
    </row>
    <row r="204" spans="1:61" x14ac:dyDescent="0.55000000000000004">
      <c r="A204" s="2">
        <v>198</v>
      </c>
      <c r="B204" s="2" t="s">
        <v>254</v>
      </c>
      <c r="C204" s="2" t="s">
        <v>44</v>
      </c>
      <c r="D204" s="2">
        <v>60</v>
      </c>
      <c r="E204" s="2">
        <f t="shared" si="2691"/>
        <v>1</v>
      </c>
      <c r="F204" s="2">
        <v>19</v>
      </c>
      <c r="G204" s="2">
        <f t="shared" ref="G204:I204" si="2748">_xlfn.RANK.EQ(F204, F$7:F$375,0)</f>
        <v>155</v>
      </c>
      <c r="H204" s="3">
        <v>38.483333333333334</v>
      </c>
      <c r="I204" s="2">
        <f t="shared" si="2748"/>
        <v>158</v>
      </c>
      <c r="J204" s="5">
        <v>0.64097222222222228</v>
      </c>
      <c r="K204" s="2">
        <f t="shared" ref="K204:M204" si="2749">_xlfn.RANK.EQ(J204, J$7:J$375,0)</f>
        <v>214</v>
      </c>
      <c r="L204" s="2">
        <v>217</v>
      </c>
      <c r="M204" s="2">
        <f t="shared" si="2749"/>
        <v>198</v>
      </c>
      <c r="N204" s="2">
        <v>70</v>
      </c>
      <c r="O204" s="2">
        <f t="shared" ref="O204:Q204" si="2750">_xlfn.RANK.EQ(N204, N$7:N$375,0)</f>
        <v>205</v>
      </c>
      <c r="P204" s="2">
        <v>218</v>
      </c>
      <c r="Q204" s="2">
        <f t="shared" si="2750"/>
        <v>186</v>
      </c>
      <c r="R204" s="4">
        <v>0.32100000000000001</v>
      </c>
      <c r="S204" s="2">
        <f t="shared" ref="S204:U204" si="2751">_xlfn.RANK.EQ(R204, R$7:R$375,0)</f>
        <v>312</v>
      </c>
      <c r="T204" s="2">
        <v>13</v>
      </c>
      <c r="U204" s="2">
        <f t="shared" si="2751"/>
        <v>284</v>
      </c>
      <c r="V204" s="2">
        <v>38</v>
      </c>
      <c r="W204" s="2">
        <f t="shared" ref="W204:Y204" si="2752">_xlfn.RANK.EQ(V204, V$7:V$375,0)</f>
        <v>271</v>
      </c>
      <c r="X204" s="4">
        <v>0.34200000000000003</v>
      </c>
      <c r="Y204" s="2">
        <f t="shared" si="2752"/>
        <v>331</v>
      </c>
      <c r="Z204" s="2">
        <v>57</v>
      </c>
      <c r="AA204" s="2">
        <f t="shared" ref="AA204:AC204" si="2753">_xlfn.RANK.EQ(Z204, Z$7:Z$375,0)</f>
        <v>100</v>
      </c>
      <c r="AB204" s="2">
        <v>180</v>
      </c>
      <c r="AC204" s="2">
        <f t="shared" si="2753"/>
        <v>98</v>
      </c>
      <c r="AD204" s="4">
        <v>0.317</v>
      </c>
      <c r="AE204" s="2">
        <f t="shared" ref="AE204:AG204" si="2754">_xlfn.RANK.EQ(AD204, AD$7:AD$375,0)</f>
        <v>187</v>
      </c>
      <c r="AF204" s="2">
        <v>20</v>
      </c>
      <c r="AG204" s="2">
        <f t="shared" si="2754"/>
        <v>212</v>
      </c>
      <c r="AH204" s="2">
        <v>35</v>
      </c>
      <c r="AI204" s="2">
        <f t="shared" ref="AI204:AK204" si="2755">_xlfn.RANK.EQ(AH204, AH$7:AH$375,0)</f>
        <v>194</v>
      </c>
      <c r="AJ204" s="4">
        <v>0.57099999999999995</v>
      </c>
      <c r="AK204" s="2">
        <f t="shared" si="2755"/>
        <v>285</v>
      </c>
      <c r="AL204" s="2">
        <v>20</v>
      </c>
      <c r="AM204" s="2">
        <f t="shared" ref="AM204:AO204" si="2756">_xlfn.RANK.EQ(AL204, AL$7:AL$375,0)</f>
        <v>198</v>
      </c>
      <c r="AN204" s="2">
        <v>80</v>
      </c>
      <c r="AO204" s="2">
        <f t="shared" si="2756"/>
        <v>144</v>
      </c>
      <c r="AP204" s="2">
        <v>100</v>
      </c>
      <c r="AQ204" s="2">
        <f t="shared" ref="AQ204:AS204" si="2757">_xlfn.RANK.EQ(AP204, AP$7:AP$375,0)</f>
        <v>161</v>
      </c>
      <c r="AR204" s="2">
        <v>41</v>
      </c>
      <c r="AS204" s="2">
        <f t="shared" si="2757"/>
        <v>235</v>
      </c>
      <c r="AT204" s="2">
        <v>25</v>
      </c>
      <c r="AU204" s="2">
        <f t="shared" ref="AU204:AW204" si="2758">_xlfn.RANK.EQ(AT204, AT$7:AT$375,0)</f>
        <v>231</v>
      </c>
      <c r="AV204" s="2">
        <v>26</v>
      </c>
      <c r="AW204" s="2">
        <f t="shared" si="2758"/>
        <v>168</v>
      </c>
      <c r="AX204" s="2">
        <v>4</v>
      </c>
      <c r="AY204" s="2">
        <f t="shared" ref="AY204:BA204" si="2759">_xlfn.RANK.EQ(AX204, AX$7:AX$375,0)</f>
        <v>186</v>
      </c>
      <c r="AZ204" s="2">
        <v>5</v>
      </c>
      <c r="BA204" s="2">
        <f t="shared" si="2759"/>
        <v>227</v>
      </c>
      <c r="BB204" s="2">
        <v>122</v>
      </c>
      <c r="BC204" s="2">
        <f t="shared" ref="BC204:BE204" si="2760">_xlfn.RANK.EQ(BB204, BB$7:BB$375,0)</f>
        <v>74</v>
      </c>
      <c r="BD204" s="2">
        <v>35</v>
      </c>
      <c r="BE204" s="2">
        <f t="shared" si="2760"/>
        <v>221</v>
      </c>
      <c r="BF204" s="2">
        <v>107</v>
      </c>
      <c r="BG204" s="2">
        <f t="shared" ref="BG204:BI204" si="2761">_xlfn.RANK.EQ(BF204, BF$7:BF$375,0)</f>
        <v>239</v>
      </c>
      <c r="BH204" s="2">
        <v>-214</v>
      </c>
      <c r="BI204" s="2">
        <f t="shared" si="2761"/>
        <v>341</v>
      </c>
    </row>
    <row r="205" spans="1:61" x14ac:dyDescent="0.55000000000000004">
      <c r="A205" s="2">
        <v>198</v>
      </c>
      <c r="B205" s="2" t="s">
        <v>255</v>
      </c>
      <c r="C205" s="2" t="s">
        <v>50</v>
      </c>
      <c r="D205" s="2">
        <v>52</v>
      </c>
      <c r="E205" s="2">
        <f t="shared" si="2691"/>
        <v>176</v>
      </c>
      <c r="F205" s="2">
        <v>17</v>
      </c>
      <c r="G205" s="2">
        <f t="shared" ref="G205:I205" si="2762">_xlfn.RANK.EQ(F205, F$7:F$375,0)</f>
        <v>166</v>
      </c>
      <c r="H205" s="3">
        <v>32.602083333333333</v>
      </c>
      <c r="I205" s="2">
        <f t="shared" si="2762"/>
        <v>191</v>
      </c>
      <c r="J205" s="5">
        <v>0.62638888888888888</v>
      </c>
      <c r="K205" s="2">
        <f t="shared" ref="K205:M205" si="2763">_xlfn.RANK.EQ(J205, J$7:J$375,0)</f>
        <v>218</v>
      </c>
      <c r="L205" s="2">
        <v>217</v>
      </c>
      <c r="M205" s="2">
        <f t="shared" si="2763"/>
        <v>198</v>
      </c>
      <c r="N205" s="2">
        <v>72</v>
      </c>
      <c r="O205" s="2">
        <f t="shared" ref="O205:Q205" si="2764">_xlfn.RANK.EQ(N205, N$7:N$375,0)</f>
        <v>204</v>
      </c>
      <c r="P205" s="2">
        <v>185</v>
      </c>
      <c r="Q205" s="2">
        <f t="shared" si="2764"/>
        <v>206</v>
      </c>
      <c r="R205" s="4">
        <v>0.38900000000000001</v>
      </c>
      <c r="S205" s="2">
        <f t="shared" ref="S205:U205" si="2765">_xlfn.RANK.EQ(R205, R$7:R$375,0)</f>
        <v>225</v>
      </c>
      <c r="T205" s="2">
        <v>30</v>
      </c>
      <c r="U205" s="2">
        <f t="shared" si="2765"/>
        <v>228</v>
      </c>
      <c r="V205" s="2">
        <v>73</v>
      </c>
      <c r="W205" s="2">
        <f t="shared" ref="W205:Y205" si="2766">_xlfn.RANK.EQ(V205, V$7:V$375,0)</f>
        <v>216</v>
      </c>
      <c r="X205" s="4">
        <v>0.41099999999999998</v>
      </c>
      <c r="Y205" s="2">
        <f t="shared" si="2766"/>
        <v>284</v>
      </c>
      <c r="Z205" s="2">
        <v>42</v>
      </c>
      <c r="AA205" s="2">
        <f t="shared" ref="AA205:AC205" si="2767">_xlfn.RANK.EQ(Z205, Z$7:Z$375,0)</f>
        <v>142</v>
      </c>
      <c r="AB205" s="2">
        <v>112</v>
      </c>
      <c r="AC205" s="2">
        <f t="shared" si="2767"/>
        <v>156</v>
      </c>
      <c r="AD205" s="4">
        <v>0.375</v>
      </c>
      <c r="AE205" s="2">
        <f t="shared" ref="AE205:AG205" si="2768">_xlfn.RANK.EQ(AD205, AD$7:AD$375,0)</f>
        <v>70</v>
      </c>
      <c r="AF205" s="2">
        <v>31</v>
      </c>
      <c r="AG205" s="2">
        <f t="shared" si="2768"/>
        <v>164</v>
      </c>
      <c r="AH205" s="2">
        <v>40</v>
      </c>
      <c r="AI205" s="2">
        <f t="shared" ref="AI205:AK205" si="2769">_xlfn.RANK.EQ(AH205, AH$7:AH$375,0)</f>
        <v>172</v>
      </c>
      <c r="AJ205" s="4">
        <v>0.77500000000000002</v>
      </c>
      <c r="AK205" s="2">
        <f t="shared" si="2769"/>
        <v>117</v>
      </c>
      <c r="AL205" s="2">
        <v>12</v>
      </c>
      <c r="AM205" s="2">
        <f t="shared" ref="AM205:AO205" si="2770">_xlfn.RANK.EQ(AL205, AL$7:AL$375,0)</f>
        <v>264</v>
      </c>
      <c r="AN205" s="2">
        <v>43</v>
      </c>
      <c r="AO205" s="2">
        <f t="shared" si="2770"/>
        <v>223</v>
      </c>
      <c r="AP205" s="2">
        <v>55</v>
      </c>
      <c r="AQ205" s="2">
        <f t="shared" ref="AQ205:AS205" si="2771">_xlfn.RANK.EQ(AP205, AP$7:AP$375,0)</f>
        <v>234</v>
      </c>
      <c r="AR205" s="2">
        <v>101</v>
      </c>
      <c r="AS205" s="2">
        <f t="shared" si="2771"/>
        <v>128</v>
      </c>
      <c r="AT205" s="2">
        <v>65</v>
      </c>
      <c r="AU205" s="2">
        <f t="shared" ref="AU205:AW205" si="2772">_xlfn.RANK.EQ(AT205, AT$7:AT$375,0)</f>
        <v>110</v>
      </c>
      <c r="AV205" s="2">
        <v>13</v>
      </c>
      <c r="AW205" s="2">
        <f t="shared" si="2772"/>
        <v>252</v>
      </c>
      <c r="AX205" s="2">
        <v>1</v>
      </c>
      <c r="AY205" s="2">
        <f t="shared" ref="AY205:BA205" si="2773">_xlfn.RANK.EQ(AX205, AX$7:AX$375,0)</f>
        <v>265</v>
      </c>
      <c r="AZ205" s="2">
        <v>4</v>
      </c>
      <c r="BA205" s="2">
        <f t="shared" si="2773"/>
        <v>246</v>
      </c>
      <c r="BB205" s="2">
        <v>119</v>
      </c>
      <c r="BC205" s="2">
        <f t="shared" ref="BC205:BE205" si="2774">_xlfn.RANK.EQ(BB205, BB$7:BB$375,0)</f>
        <v>85</v>
      </c>
      <c r="BD205" s="2">
        <v>61</v>
      </c>
      <c r="BE205" s="2">
        <f t="shared" si="2774"/>
        <v>153</v>
      </c>
      <c r="BF205" s="2">
        <v>138</v>
      </c>
      <c r="BG205" s="2">
        <f t="shared" ref="BG205:BI205" si="2775">_xlfn.RANK.EQ(BF205, BF$7:BF$375,0)</f>
        <v>215</v>
      </c>
      <c r="BH205" s="2">
        <v>152</v>
      </c>
      <c r="BI205" s="2">
        <f t="shared" si="2775"/>
        <v>63</v>
      </c>
    </row>
    <row r="206" spans="1:61" x14ac:dyDescent="0.55000000000000004">
      <c r="A206" s="2">
        <v>200</v>
      </c>
      <c r="B206" s="2" t="s">
        <v>256</v>
      </c>
      <c r="C206" s="2" t="s">
        <v>72</v>
      </c>
      <c r="D206" s="2">
        <v>57</v>
      </c>
      <c r="E206" s="2">
        <f t="shared" si="2691"/>
        <v>100</v>
      </c>
      <c r="F206" s="2">
        <v>52</v>
      </c>
      <c r="G206" s="2">
        <f t="shared" ref="G206:I206" si="2776">_xlfn.RANK.EQ(F206, F$7:F$375,0)</f>
        <v>41</v>
      </c>
      <c r="H206" s="3">
        <v>42.993749999999999</v>
      </c>
      <c r="I206" s="2">
        <f t="shared" si="2776"/>
        <v>136</v>
      </c>
      <c r="J206" s="5">
        <v>0.75416666666666665</v>
      </c>
      <c r="K206" s="2">
        <f t="shared" ref="K206:M206" si="2777">_xlfn.RANK.EQ(J206, J$7:J$375,0)</f>
        <v>178</v>
      </c>
      <c r="L206" s="2">
        <v>214</v>
      </c>
      <c r="M206" s="2">
        <f t="shared" si="2777"/>
        <v>200</v>
      </c>
      <c r="N206" s="2">
        <v>77</v>
      </c>
      <c r="O206" s="2">
        <f t="shared" ref="O206:Q206" si="2778">_xlfn.RANK.EQ(N206, N$7:N$375,0)</f>
        <v>197</v>
      </c>
      <c r="P206" s="2">
        <v>200</v>
      </c>
      <c r="Q206" s="2">
        <f t="shared" si="2778"/>
        <v>198</v>
      </c>
      <c r="R206" s="4">
        <v>0.38500000000000001</v>
      </c>
      <c r="S206" s="2">
        <f t="shared" ref="S206:U206" si="2779">_xlfn.RANK.EQ(R206, R$7:R$375,0)</f>
        <v>230</v>
      </c>
      <c r="T206" s="2">
        <v>43</v>
      </c>
      <c r="U206" s="2">
        <f t="shared" si="2779"/>
        <v>192</v>
      </c>
      <c r="V206" s="2">
        <v>94</v>
      </c>
      <c r="W206" s="2">
        <f t="shared" ref="W206:Y206" si="2780">_xlfn.RANK.EQ(V206, V$7:V$375,0)</f>
        <v>182</v>
      </c>
      <c r="X206" s="4">
        <v>0.45700000000000002</v>
      </c>
      <c r="Y206" s="2">
        <f t="shared" si="2780"/>
        <v>235</v>
      </c>
      <c r="Z206" s="2">
        <v>34</v>
      </c>
      <c r="AA206" s="2">
        <f t="shared" ref="AA206:AC206" si="2781">_xlfn.RANK.EQ(Z206, Z$7:Z$375,0)</f>
        <v>159</v>
      </c>
      <c r="AB206" s="2">
        <v>106</v>
      </c>
      <c r="AC206" s="2">
        <f t="shared" si="2781"/>
        <v>161</v>
      </c>
      <c r="AD206" s="4">
        <v>0.32100000000000001</v>
      </c>
      <c r="AE206" s="2">
        <f t="shared" ref="AE206:AG206" si="2782">_xlfn.RANK.EQ(AD206, AD$7:AD$375,0)</f>
        <v>179</v>
      </c>
      <c r="AF206" s="2">
        <v>26</v>
      </c>
      <c r="AG206" s="2">
        <f t="shared" si="2782"/>
        <v>190</v>
      </c>
      <c r="AH206" s="2">
        <v>40</v>
      </c>
      <c r="AI206" s="2">
        <f t="shared" ref="AI206:AK206" si="2783">_xlfn.RANK.EQ(AH206, AH$7:AH$375,0)</f>
        <v>172</v>
      </c>
      <c r="AJ206" s="4">
        <v>0.65</v>
      </c>
      <c r="AK206" s="2">
        <f t="shared" si="2783"/>
        <v>247</v>
      </c>
      <c r="AL206" s="2">
        <v>37</v>
      </c>
      <c r="AM206" s="2">
        <f t="shared" ref="AM206:AO206" si="2784">_xlfn.RANK.EQ(AL206, AL$7:AL$375,0)</f>
        <v>123</v>
      </c>
      <c r="AN206" s="2">
        <v>47</v>
      </c>
      <c r="AO206" s="2">
        <f t="shared" si="2784"/>
        <v>203</v>
      </c>
      <c r="AP206" s="2">
        <v>84</v>
      </c>
      <c r="AQ206" s="2">
        <f t="shared" ref="AQ206:AS206" si="2785">_xlfn.RANK.EQ(AP206, AP$7:AP$375,0)</f>
        <v>180</v>
      </c>
      <c r="AR206" s="2">
        <v>83</v>
      </c>
      <c r="AS206" s="2">
        <f t="shared" si="2785"/>
        <v>157</v>
      </c>
      <c r="AT206" s="2">
        <v>37</v>
      </c>
      <c r="AU206" s="2">
        <f t="shared" ref="AU206:AW206" si="2786">_xlfn.RANK.EQ(AT206, AT$7:AT$375,0)</f>
        <v>185</v>
      </c>
      <c r="AV206" s="2">
        <v>34</v>
      </c>
      <c r="AW206" s="2">
        <f t="shared" si="2786"/>
        <v>129</v>
      </c>
      <c r="AX206" s="2">
        <v>6</v>
      </c>
      <c r="AY206" s="2">
        <f t="shared" ref="AY206:BA206" si="2787">_xlfn.RANK.EQ(AX206, AX$7:AX$375,0)</f>
        <v>156</v>
      </c>
      <c r="AZ206" s="2">
        <v>16</v>
      </c>
      <c r="BA206" s="2">
        <f t="shared" si="2787"/>
        <v>80</v>
      </c>
      <c r="BB206" s="2">
        <v>151</v>
      </c>
      <c r="BC206" s="2">
        <f t="shared" ref="BC206:BE206" si="2788">_xlfn.RANK.EQ(BB206, BB$7:BB$375,0)</f>
        <v>17</v>
      </c>
      <c r="BD206" s="2">
        <v>48</v>
      </c>
      <c r="BE206" s="2">
        <f t="shared" si="2788"/>
        <v>177</v>
      </c>
      <c r="BF206" s="2">
        <v>128</v>
      </c>
      <c r="BG206" s="2">
        <f t="shared" ref="BG206:BI206" si="2789">_xlfn.RANK.EQ(BF206, BF$7:BF$375,0)</f>
        <v>226</v>
      </c>
      <c r="BH206" s="2">
        <v>-121</v>
      </c>
      <c r="BI206" s="2">
        <f t="shared" si="2789"/>
        <v>300</v>
      </c>
    </row>
    <row r="207" spans="1:61" x14ac:dyDescent="0.55000000000000004">
      <c r="A207" s="2">
        <v>201</v>
      </c>
      <c r="B207" s="2" t="s">
        <v>257</v>
      </c>
      <c r="C207" s="2" t="s">
        <v>46</v>
      </c>
      <c r="D207" s="2">
        <v>34</v>
      </c>
      <c r="E207" s="2">
        <f t="shared" si="2691"/>
        <v>276</v>
      </c>
      <c r="F207" s="2">
        <v>30</v>
      </c>
      <c r="G207" s="2">
        <f t="shared" ref="G207:I207" si="2790">_xlfn.RANK.EQ(F207, F$7:F$375,0)</f>
        <v>118</v>
      </c>
      <c r="H207" s="3">
        <v>29.6875</v>
      </c>
      <c r="I207" s="2">
        <f t="shared" si="2790"/>
        <v>206</v>
      </c>
      <c r="J207" s="5">
        <v>0.87291666666666667</v>
      </c>
      <c r="K207" s="2">
        <f t="shared" ref="K207:M207" si="2791">_xlfn.RANK.EQ(J207, J$7:J$375,0)</f>
        <v>144</v>
      </c>
      <c r="L207" s="2">
        <v>207</v>
      </c>
      <c r="M207" s="2">
        <f t="shared" si="2791"/>
        <v>201</v>
      </c>
      <c r="N207" s="2">
        <v>84</v>
      </c>
      <c r="O207" s="2">
        <f t="shared" ref="O207:Q207" si="2792">_xlfn.RANK.EQ(N207, N$7:N$375,0)</f>
        <v>188</v>
      </c>
      <c r="P207" s="2">
        <v>187</v>
      </c>
      <c r="Q207" s="2">
        <f t="shared" si="2792"/>
        <v>204</v>
      </c>
      <c r="R207" s="4">
        <v>0.44900000000000001</v>
      </c>
      <c r="S207" s="2">
        <f t="shared" ref="S207:U207" si="2793">_xlfn.RANK.EQ(R207, R$7:R$375,0)</f>
        <v>124</v>
      </c>
      <c r="T207" s="2">
        <v>52</v>
      </c>
      <c r="U207" s="2">
        <f t="shared" si="2793"/>
        <v>169</v>
      </c>
      <c r="V207" s="2">
        <v>86</v>
      </c>
      <c r="W207" s="2">
        <f t="shared" ref="W207:Y207" si="2794">_xlfn.RANK.EQ(V207, V$7:V$375,0)</f>
        <v>196</v>
      </c>
      <c r="X207" s="4">
        <v>0.60499999999999998</v>
      </c>
      <c r="Y207" s="2">
        <f t="shared" si="2794"/>
        <v>52</v>
      </c>
      <c r="Z207" s="2">
        <v>32</v>
      </c>
      <c r="AA207" s="2">
        <f t="shared" ref="AA207:AC207" si="2795">_xlfn.RANK.EQ(Z207, Z$7:Z$375,0)</f>
        <v>168</v>
      </c>
      <c r="AB207" s="2">
        <v>101</v>
      </c>
      <c r="AC207" s="2">
        <f t="shared" si="2795"/>
        <v>166</v>
      </c>
      <c r="AD207" s="4">
        <v>0.317</v>
      </c>
      <c r="AE207" s="2">
        <f t="shared" ref="AE207:AG207" si="2796">_xlfn.RANK.EQ(AD207, AD$7:AD$375,0)</f>
        <v>187</v>
      </c>
      <c r="AF207" s="2">
        <v>7</v>
      </c>
      <c r="AG207" s="2">
        <f t="shared" si="2796"/>
        <v>286</v>
      </c>
      <c r="AH207" s="2">
        <v>14</v>
      </c>
      <c r="AI207" s="2">
        <f t="shared" ref="AI207:AK207" si="2797">_xlfn.RANK.EQ(AH207, AH$7:AH$375,0)</f>
        <v>271</v>
      </c>
      <c r="AJ207" s="4">
        <v>0.5</v>
      </c>
      <c r="AK207" s="2">
        <f t="shared" si="2797"/>
        <v>306</v>
      </c>
      <c r="AL207" s="2">
        <v>20</v>
      </c>
      <c r="AM207" s="2">
        <f t="shared" ref="AM207:AO207" si="2798">_xlfn.RANK.EQ(AL207, AL$7:AL$375,0)</f>
        <v>198</v>
      </c>
      <c r="AN207" s="2">
        <v>33</v>
      </c>
      <c r="AO207" s="2">
        <f t="shared" si="2798"/>
        <v>246</v>
      </c>
      <c r="AP207" s="2">
        <v>53</v>
      </c>
      <c r="AQ207" s="2">
        <f t="shared" ref="AQ207:AS207" si="2799">_xlfn.RANK.EQ(AP207, AP$7:AP$375,0)</f>
        <v>239</v>
      </c>
      <c r="AR207" s="2">
        <v>67</v>
      </c>
      <c r="AS207" s="2">
        <f t="shared" si="2799"/>
        <v>183</v>
      </c>
      <c r="AT207" s="2">
        <v>40</v>
      </c>
      <c r="AU207" s="2">
        <f t="shared" ref="AU207:AW207" si="2800">_xlfn.RANK.EQ(AT207, AT$7:AT$375,0)</f>
        <v>177</v>
      </c>
      <c r="AV207" s="2">
        <v>19</v>
      </c>
      <c r="AW207" s="2">
        <f t="shared" si="2800"/>
        <v>216</v>
      </c>
      <c r="AX207" s="2">
        <v>7</v>
      </c>
      <c r="AY207" s="2">
        <f t="shared" ref="AY207:BA207" si="2801">_xlfn.RANK.EQ(AX207, AX$7:AX$375,0)</f>
        <v>138</v>
      </c>
      <c r="AZ207" s="2">
        <v>5</v>
      </c>
      <c r="BA207" s="2">
        <f t="shared" si="2801"/>
        <v>227</v>
      </c>
      <c r="BB207" s="2">
        <v>83</v>
      </c>
      <c r="BC207" s="2">
        <f t="shared" ref="BC207:BE207" si="2802">_xlfn.RANK.EQ(BB207, BB$7:BB$375,0)</f>
        <v>184</v>
      </c>
      <c r="BD207" s="2">
        <v>28</v>
      </c>
      <c r="BE207" s="2">
        <f t="shared" si="2802"/>
        <v>238</v>
      </c>
      <c r="BF207" s="2">
        <v>143</v>
      </c>
      <c r="BG207" s="2">
        <f t="shared" ref="BG207:BI207" si="2803">_xlfn.RANK.EQ(BF207, BF$7:BF$375,0)</f>
        <v>210</v>
      </c>
      <c r="BH207" s="2">
        <v>-39</v>
      </c>
      <c r="BI207" s="2">
        <f t="shared" si="2803"/>
        <v>218</v>
      </c>
    </row>
    <row r="208" spans="1:61" x14ac:dyDescent="0.55000000000000004">
      <c r="A208" s="2">
        <v>202</v>
      </c>
      <c r="B208" s="2" t="s">
        <v>258</v>
      </c>
      <c r="C208" s="2" t="s">
        <v>32</v>
      </c>
      <c r="D208" s="2">
        <v>57</v>
      </c>
      <c r="E208" s="2">
        <f t="shared" si="2691"/>
        <v>100</v>
      </c>
      <c r="F208" s="2">
        <v>6</v>
      </c>
      <c r="G208" s="2">
        <f t="shared" ref="G208:I208" si="2804">_xlfn.RANK.EQ(F208, F$7:F$375,0)</f>
        <v>228</v>
      </c>
      <c r="H208" s="3">
        <v>33.977083333333333</v>
      </c>
      <c r="I208" s="2">
        <f t="shared" si="2804"/>
        <v>179</v>
      </c>
      <c r="J208" s="5">
        <v>0.59583333333333333</v>
      </c>
      <c r="K208" s="2">
        <f t="shared" ref="K208:M208" si="2805">_xlfn.RANK.EQ(J208, J$7:J$375,0)</f>
        <v>231</v>
      </c>
      <c r="L208" s="2">
        <v>206</v>
      </c>
      <c r="M208" s="2">
        <f t="shared" si="2805"/>
        <v>202</v>
      </c>
      <c r="N208" s="2">
        <v>67</v>
      </c>
      <c r="O208" s="2">
        <f t="shared" ref="O208:Q208" si="2806">_xlfn.RANK.EQ(N208, N$7:N$375,0)</f>
        <v>208</v>
      </c>
      <c r="P208" s="2">
        <v>214</v>
      </c>
      <c r="Q208" s="2">
        <f t="shared" si="2806"/>
        <v>189</v>
      </c>
      <c r="R208" s="4">
        <v>0.313</v>
      </c>
      <c r="S208" s="2">
        <f t="shared" ref="S208:U208" si="2807">_xlfn.RANK.EQ(R208, R$7:R$375,0)</f>
        <v>319</v>
      </c>
      <c r="T208" s="2">
        <v>15</v>
      </c>
      <c r="U208" s="2">
        <f t="shared" si="2807"/>
        <v>275</v>
      </c>
      <c r="V208" s="2">
        <v>39</v>
      </c>
      <c r="W208" s="2">
        <f t="shared" ref="W208:Y208" si="2808">_xlfn.RANK.EQ(V208, V$7:V$375,0)</f>
        <v>269</v>
      </c>
      <c r="X208" s="4">
        <v>0.38500000000000001</v>
      </c>
      <c r="Y208" s="2">
        <f t="shared" si="2808"/>
        <v>307</v>
      </c>
      <c r="Z208" s="2">
        <v>52</v>
      </c>
      <c r="AA208" s="2">
        <f t="shared" ref="AA208:AC208" si="2809">_xlfn.RANK.EQ(Z208, Z$7:Z$375,0)</f>
        <v>116</v>
      </c>
      <c r="AB208" s="2">
        <v>175</v>
      </c>
      <c r="AC208" s="2">
        <f t="shared" si="2809"/>
        <v>102</v>
      </c>
      <c r="AD208" s="4">
        <v>0.29699999999999999</v>
      </c>
      <c r="AE208" s="2">
        <f t="shared" ref="AE208:AG208" si="2810">_xlfn.RANK.EQ(AD208, AD$7:AD$375,0)</f>
        <v>215</v>
      </c>
      <c r="AF208" s="2">
        <v>20</v>
      </c>
      <c r="AG208" s="2">
        <f t="shared" si="2810"/>
        <v>212</v>
      </c>
      <c r="AH208" s="2">
        <v>27</v>
      </c>
      <c r="AI208" s="2">
        <f t="shared" ref="AI208:AK208" si="2811">_xlfn.RANK.EQ(AH208, AH$7:AH$375,0)</f>
        <v>219</v>
      </c>
      <c r="AJ208" s="4">
        <v>0.74099999999999999</v>
      </c>
      <c r="AK208" s="2">
        <f t="shared" si="2811"/>
        <v>165</v>
      </c>
      <c r="AL208" s="2">
        <v>27</v>
      </c>
      <c r="AM208" s="2">
        <f t="shared" ref="AM208:AO208" si="2812">_xlfn.RANK.EQ(AL208, AL$7:AL$375,0)</f>
        <v>162</v>
      </c>
      <c r="AN208" s="2">
        <v>41</v>
      </c>
      <c r="AO208" s="2">
        <f t="shared" si="2812"/>
        <v>227</v>
      </c>
      <c r="AP208" s="2">
        <v>68</v>
      </c>
      <c r="AQ208" s="2">
        <f t="shared" ref="AQ208:AS208" si="2813">_xlfn.RANK.EQ(AP208, AP$7:AP$375,0)</f>
        <v>209</v>
      </c>
      <c r="AR208" s="2">
        <v>21</v>
      </c>
      <c r="AS208" s="2">
        <f t="shared" si="2813"/>
        <v>275</v>
      </c>
      <c r="AT208" s="2">
        <v>19</v>
      </c>
      <c r="AU208" s="2">
        <f t="shared" ref="AU208:AW208" si="2814">_xlfn.RANK.EQ(AT208, AT$7:AT$375,0)</f>
        <v>259</v>
      </c>
      <c r="AV208" s="2">
        <v>18</v>
      </c>
      <c r="AW208" s="2">
        <f t="shared" si="2814"/>
        <v>221</v>
      </c>
      <c r="AX208" s="2">
        <v>5</v>
      </c>
      <c r="AY208" s="2">
        <f t="shared" ref="AY208:BA208" si="2815">_xlfn.RANK.EQ(AX208, AX$7:AX$375,0)</f>
        <v>169</v>
      </c>
      <c r="AZ208" s="2">
        <v>6</v>
      </c>
      <c r="BA208" s="2">
        <f t="shared" si="2815"/>
        <v>214</v>
      </c>
      <c r="BB208" s="2">
        <v>90</v>
      </c>
      <c r="BC208" s="2">
        <f t="shared" ref="BC208:BE208" si="2816">_xlfn.RANK.EQ(BB208, BB$7:BB$375,0)</f>
        <v>163</v>
      </c>
      <c r="BD208" s="2">
        <v>32</v>
      </c>
      <c r="BE208" s="2">
        <f t="shared" si="2816"/>
        <v>227</v>
      </c>
      <c r="BF208" s="2">
        <v>81</v>
      </c>
      <c r="BG208" s="2">
        <f t="shared" ref="BG208:BI208" si="2817">_xlfn.RANK.EQ(BF208, BF$7:BF$375,0)</f>
        <v>251</v>
      </c>
      <c r="BH208" s="2">
        <v>64</v>
      </c>
      <c r="BI208" s="2">
        <f t="shared" si="2817"/>
        <v>94</v>
      </c>
    </row>
    <row r="209" spans="1:61" x14ac:dyDescent="0.55000000000000004">
      <c r="A209" s="2">
        <v>203</v>
      </c>
      <c r="B209" s="2" t="s">
        <v>259</v>
      </c>
      <c r="C209" s="2" t="s">
        <v>79</v>
      </c>
      <c r="D209" s="2">
        <v>30</v>
      </c>
      <c r="E209" s="2">
        <f t="shared" si="2691"/>
        <v>283</v>
      </c>
      <c r="F209" s="2">
        <v>10</v>
      </c>
      <c r="G209" s="2">
        <f t="shared" ref="G209:I209" si="2818">_xlfn.RANK.EQ(F209, F$7:F$375,0)</f>
        <v>200</v>
      </c>
      <c r="H209" s="3">
        <v>24.867361111111112</v>
      </c>
      <c r="I209" s="2">
        <f t="shared" si="2818"/>
        <v>229</v>
      </c>
      <c r="J209" s="5">
        <v>0.82847222222222228</v>
      </c>
      <c r="K209" s="2">
        <f t="shared" ref="K209:M209" si="2819">_xlfn.RANK.EQ(J209, J$7:J$375,0)</f>
        <v>156</v>
      </c>
      <c r="L209" s="2">
        <v>204</v>
      </c>
      <c r="M209" s="2">
        <f t="shared" si="2819"/>
        <v>203</v>
      </c>
      <c r="N209" s="2">
        <v>65</v>
      </c>
      <c r="O209" s="2">
        <f t="shared" ref="O209:Q209" si="2820">_xlfn.RANK.EQ(N209, N$7:N$375,0)</f>
        <v>212</v>
      </c>
      <c r="P209" s="2">
        <v>138</v>
      </c>
      <c r="Q209" s="2">
        <f t="shared" si="2820"/>
        <v>235</v>
      </c>
      <c r="R209" s="4">
        <v>0.47099999999999997</v>
      </c>
      <c r="S209" s="2">
        <f t="shared" ref="S209:U209" si="2821">_xlfn.RANK.EQ(R209, R$7:R$375,0)</f>
        <v>90</v>
      </c>
      <c r="T209" s="2">
        <v>65</v>
      </c>
      <c r="U209" s="2">
        <f t="shared" si="2821"/>
        <v>147</v>
      </c>
      <c r="V209" s="2">
        <v>123</v>
      </c>
      <c r="W209" s="2">
        <f t="shared" ref="W209:Y209" si="2822">_xlfn.RANK.EQ(V209, V$7:V$375,0)</f>
        <v>157</v>
      </c>
      <c r="X209" s="4">
        <v>0.52800000000000002</v>
      </c>
      <c r="Y209" s="2">
        <f t="shared" si="2822"/>
        <v>142</v>
      </c>
      <c r="Z209" s="2">
        <v>0</v>
      </c>
      <c r="AA209" s="2">
        <f t="shared" ref="AA209:AC209" si="2823">_xlfn.RANK.EQ(Z209, Z$7:Z$375,0)</f>
        <v>329</v>
      </c>
      <c r="AB209" s="2">
        <v>15</v>
      </c>
      <c r="AC209" s="2">
        <f t="shared" si="2823"/>
        <v>295</v>
      </c>
      <c r="AD209" s="4">
        <v>0</v>
      </c>
      <c r="AE209" s="2">
        <f t="shared" ref="AE209:AG209" si="2824">_xlfn.RANK.EQ(AD209, AD$7:AD$375,0)</f>
        <v>329</v>
      </c>
      <c r="AF209" s="2">
        <v>74</v>
      </c>
      <c r="AG209" s="2">
        <f t="shared" si="2824"/>
        <v>96</v>
      </c>
      <c r="AH209" s="2">
        <v>117</v>
      </c>
      <c r="AI209" s="2">
        <f t="shared" ref="AI209:AK209" si="2825">_xlfn.RANK.EQ(AH209, AH$7:AH$375,0)</f>
        <v>83</v>
      </c>
      <c r="AJ209" s="4">
        <v>0.63200000000000001</v>
      </c>
      <c r="AK209" s="2">
        <f t="shared" si="2825"/>
        <v>254</v>
      </c>
      <c r="AL209" s="2">
        <v>45</v>
      </c>
      <c r="AM209" s="2">
        <f t="shared" ref="AM209:AO209" si="2826">_xlfn.RANK.EQ(AL209, AL$7:AL$375,0)</f>
        <v>103</v>
      </c>
      <c r="AN209" s="2">
        <v>89</v>
      </c>
      <c r="AO209" s="2">
        <f t="shared" si="2826"/>
        <v>123</v>
      </c>
      <c r="AP209" s="2">
        <v>134</v>
      </c>
      <c r="AQ209" s="2">
        <f t="shared" ref="AQ209:AS209" si="2827">_xlfn.RANK.EQ(AP209, AP$7:AP$375,0)</f>
        <v>115</v>
      </c>
      <c r="AR209" s="2">
        <v>50</v>
      </c>
      <c r="AS209" s="2">
        <f t="shared" si="2827"/>
        <v>217</v>
      </c>
      <c r="AT209" s="2">
        <v>41</v>
      </c>
      <c r="AU209" s="2">
        <f t="shared" ref="AU209:AW209" si="2828">_xlfn.RANK.EQ(AT209, AT$7:AT$375,0)</f>
        <v>171</v>
      </c>
      <c r="AV209" s="2">
        <v>24</v>
      </c>
      <c r="AW209" s="2">
        <f t="shared" si="2828"/>
        <v>180</v>
      </c>
      <c r="AX209" s="2">
        <v>9</v>
      </c>
      <c r="AY209" s="2">
        <f t="shared" ref="AY209:BA209" si="2829">_xlfn.RANK.EQ(AX209, AX$7:AX$375,0)</f>
        <v>110</v>
      </c>
      <c r="AZ209" s="2">
        <v>10</v>
      </c>
      <c r="BA209" s="2">
        <f t="shared" si="2829"/>
        <v>144</v>
      </c>
      <c r="BB209" s="2">
        <v>66</v>
      </c>
      <c r="BC209" s="2">
        <f t="shared" ref="BC209:BE209" si="2830">_xlfn.RANK.EQ(BB209, BB$7:BB$375,0)</f>
        <v>225</v>
      </c>
      <c r="BD209" s="2">
        <v>135</v>
      </c>
      <c r="BE209" s="2">
        <f t="shared" si="2830"/>
        <v>81</v>
      </c>
      <c r="BF209" s="2">
        <v>322</v>
      </c>
      <c r="BG209" s="2">
        <f t="shared" ref="BG209:BI209" si="2831">_xlfn.RANK.EQ(BF209, BF$7:BF$375,0)</f>
        <v>136</v>
      </c>
      <c r="BH209" s="2">
        <v>-90</v>
      </c>
      <c r="BI209" s="2">
        <f t="shared" si="2831"/>
        <v>270</v>
      </c>
    </row>
    <row r="210" spans="1:61" x14ac:dyDescent="0.55000000000000004">
      <c r="A210" s="2">
        <v>203</v>
      </c>
      <c r="B210" s="2" t="s">
        <v>260</v>
      </c>
      <c r="C210" s="2" t="s">
        <v>79</v>
      </c>
      <c r="D210" s="2">
        <v>54</v>
      </c>
      <c r="E210" s="2">
        <f t="shared" si="2691"/>
        <v>155</v>
      </c>
      <c r="F210" s="2">
        <v>16</v>
      </c>
      <c r="G210" s="2">
        <f t="shared" ref="G210:I210" si="2832">_xlfn.RANK.EQ(F210, F$7:F$375,0)</f>
        <v>173</v>
      </c>
      <c r="H210" s="3">
        <v>33.238888888888887</v>
      </c>
      <c r="I210" s="2">
        <f t="shared" si="2832"/>
        <v>185</v>
      </c>
      <c r="J210" s="5">
        <v>0.61527777777777781</v>
      </c>
      <c r="K210" s="2">
        <f t="shared" ref="K210:M210" si="2833">_xlfn.RANK.EQ(J210, J$7:J$375,0)</f>
        <v>224</v>
      </c>
      <c r="L210" s="2">
        <v>204</v>
      </c>
      <c r="M210" s="2">
        <f t="shared" si="2833"/>
        <v>203</v>
      </c>
      <c r="N210" s="2">
        <v>75</v>
      </c>
      <c r="O210" s="2">
        <f t="shared" ref="O210:Q210" si="2834">_xlfn.RANK.EQ(N210, N$7:N$375,0)</f>
        <v>198</v>
      </c>
      <c r="P210" s="2">
        <v>223</v>
      </c>
      <c r="Q210" s="2">
        <f t="shared" si="2834"/>
        <v>182</v>
      </c>
      <c r="R210" s="4">
        <v>0.33600000000000002</v>
      </c>
      <c r="S210" s="2">
        <f t="shared" ref="S210:U210" si="2835">_xlfn.RANK.EQ(R210, R$7:R$375,0)</f>
        <v>296</v>
      </c>
      <c r="T210" s="2">
        <v>46</v>
      </c>
      <c r="U210" s="2">
        <f t="shared" si="2835"/>
        <v>184</v>
      </c>
      <c r="V210" s="2">
        <v>124</v>
      </c>
      <c r="W210" s="2">
        <f t="shared" ref="W210:Y210" si="2836">_xlfn.RANK.EQ(V210, V$7:V$375,0)</f>
        <v>156</v>
      </c>
      <c r="X210" s="4">
        <v>0.371</v>
      </c>
      <c r="Y210" s="2">
        <f t="shared" si="2836"/>
        <v>316</v>
      </c>
      <c r="Z210" s="2">
        <v>29</v>
      </c>
      <c r="AA210" s="2">
        <f t="shared" ref="AA210:AC210" si="2837">_xlfn.RANK.EQ(Z210, Z$7:Z$375,0)</f>
        <v>178</v>
      </c>
      <c r="AB210" s="2">
        <v>99</v>
      </c>
      <c r="AC210" s="2">
        <f t="shared" si="2837"/>
        <v>172</v>
      </c>
      <c r="AD210" s="4">
        <v>0.29299999999999998</v>
      </c>
      <c r="AE210" s="2">
        <f t="shared" ref="AE210:AG210" si="2838">_xlfn.RANK.EQ(AD210, AD$7:AD$375,0)</f>
        <v>224</v>
      </c>
      <c r="AF210" s="2">
        <v>25</v>
      </c>
      <c r="AG210" s="2">
        <f t="shared" si="2838"/>
        <v>193</v>
      </c>
      <c r="AH210" s="2">
        <v>30</v>
      </c>
      <c r="AI210" s="2">
        <f t="shared" ref="AI210:AK210" si="2839">_xlfn.RANK.EQ(AH210, AH$7:AH$375,0)</f>
        <v>209</v>
      </c>
      <c r="AJ210" s="4">
        <v>0.83299999999999996</v>
      </c>
      <c r="AK210" s="2">
        <f t="shared" si="2839"/>
        <v>50</v>
      </c>
      <c r="AL210" s="2">
        <v>13</v>
      </c>
      <c r="AM210" s="2">
        <f t="shared" ref="AM210:AO210" si="2840">_xlfn.RANK.EQ(AL210, AL$7:AL$375,0)</f>
        <v>256</v>
      </c>
      <c r="AN210" s="2">
        <v>53</v>
      </c>
      <c r="AO210" s="2">
        <f t="shared" si="2840"/>
        <v>191</v>
      </c>
      <c r="AP210" s="2">
        <v>66</v>
      </c>
      <c r="AQ210" s="2">
        <f t="shared" ref="AQ210:AS210" si="2841">_xlfn.RANK.EQ(AP210, AP$7:AP$375,0)</f>
        <v>214</v>
      </c>
      <c r="AR210" s="2">
        <v>144</v>
      </c>
      <c r="AS210" s="2">
        <f t="shared" si="2841"/>
        <v>77</v>
      </c>
      <c r="AT210" s="2">
        <v>49</v>
      </c>
      <c r="AU210" s="2">
        <f t="shared" ref="AU210:AW210" si="2842">_xlfn.RANK.EQ(AT210, AT$7:AT$375,0)</f>
        <v>146</v>
      </c>
      <c r="AV210" s="2">
        <v>22</v>
      </c>
      <c r="AW210" s="2">
        <f t="shared" si="2842"/>
        <v>197</v>
      </c>
      <c r="AX210" s="2">
        <v>2</v>
      </c>
      <c r="AY210" s="2">
        <f t="shared" ref="AY210:BA210" si="2843">_xlfn.RANK.EQ(AX210, AX$7:AX$375,0)</f>
        <v>234</v>
      </c>
      <c r="AZ210" s="2">
        <v>16</v>
      </c>
      <c r="BA210" s="2">
        <f t="shared" si="2843"/>
        <v>80</v>
      </c>
      <c r="BB210" s="2">
        <v>94</v>
      </c>
      <c r="BC210" s="2">
        <f t="shared" ref="BC210:BE210" si="2844">_xlfn.RANK.EQ(BB210, BB$7:BB$375,0)</f>
        <v>155</v>
      </c>
      <c r="BD210" s="2">
        <v>47</v>
      </c>
      <c r="BE210" s="2">
        <f t="shared" si="2844"/>
        <v>179</v>
      </c>
      <c r="BF210" s="2">
        <v>172</v>
      </c>
      <c r="BG210" s="2">
        <f t="shared" ref="BG210:BI210" si="2845">_xlfn.RANK.EQ(BF210, BF$7:BF$375,0)</f>
        <v>199</v>
      </c>
      <c r="BH210" s="2">
        <v>-163</v>
      </c>
      <c r="BI210" s="2">
        <f t="shared" si="2845"/>
        <v>327</v>
      </c>
    </row>
    <row r="211" spans="1:61" x14ac:dyDescent="0.55000000000000004">
      <c r="A211" s="2">
        <v>205</v>
      </c>
      <c r="B211" s="2" t="s">
        <v>261</v>
      </c>
      <c r="C211" s="2" t="s">
        <v>40</v>
      </c>
      <c r="D211" s="2">
        <v>60</v>
      </c>
      <c r="E211" s="2">
        <f t="shared" si="2691"/>
        <v>1</v>
      </c>
      <c r="F211" s="2">
        <v>10</v>
      </c>
      <c r="G211" s="2">
        <f t="shared" ref="G211:I211" si="2846">_xlfn.RANK.EQ(F211, F$7:F$375,0)</f>
        <v>200</v>
      </c>
      <c r="H211" s="3">
        <v>38.3125</v>
      </c>
      <c r="I211" s="2">
        <f t="shared" si="2846"/>
        <v>159</v>
      </c>
      <c r="J211" s="5">
        <v>0.6381944444444444</v>
      </c>
      <c r="K211" s="2">
        <f t="shared" ref="K211:M211" si="2847">_xlfn.RANK.EQ(J211, J$7:J$375,0)</f>
        <v>215</v>
      </c>
      <c r="L211" s="2">
        <v>203</v>
      </c>
      <c r="M211" s="2">
        <f t="shared" si="2847"/>
        <v>205</v>
      </c>
      <c r="N211" s="2">
        <v>64</v>
      </c>
      <c r="O211" s="2">
        <f t="shared" ref="O211:Q211" si="2848">_xlfn.RANK.EQ(N211, N$7:N$375,0)</f>
        <v>215</v>
      </c>
      <c r="P211" s="2">
        <v>193</v>
      </c>
      <c r="Q211" s="2">
        <f t="shared" si="2848"/>
        <v>200</v>
      </c>
      <c r="R211" s="4">
        <v>0.33200000000000002</v>
      </c>
      <c r="S211" s="2">
        <f t="shared" ref="S211:U211" si="2849">_xlfn.RANK.EQ(R211, R$7:R$375,0)</f>
        <v>306</v>
      </c>
      <c r="T211" s="2">
        <v>9</v>
      </c>
      <c r="U211" s="2">
        <f t="shared" si="2849"/>
        <v>298</v>
      </c>
      <c r="V211" s="2">
        <v>31</v>
      </c>
      <c r="W211" s="2">
        <f t="shared" ref="W211:Y211" si="2850">_xlfn.RANK.EQ(V211, V$7:V$375,0)</f>
        <v>280</v>
      </c>
      <c r="X211" s="4">
        <v>0.28999999999999998</v>
      </c>
      <c r="Y211" s="2">
        <f t="shared" si="2850"/>
        <v>346</v>
      </c>
      <c r="Z211" s="2">
        <v>55</v>
      </c>
      <c r="AA211" s="2">
        <f t="shared" ref="AA211:AC211" si="2851">_xlfn.RANK.EQ(Z211, Z$7:Z$375,0)</f>
        <v>107</v>
      </c>
      <c r="AB211" s="2">
        <v>162</v>
      </c>
      <c r="AC211" s="2">
        <f t="shared" si="2851"/>
        <v>114</v>
      </c>
      <c r="AD211" s="4">
        <v>0.34</v>
      </c>
      <c r="AE211" s="2">
        <f t="shared" ref="AE211:AG211" si="2852">_xlfn.RANK.EQ(AD211, AD$7:AD$375,0)</f>
        <v>135</v>
      </c>
      <c r="AF211" s="2">
        <v>20</v>
      </c>
      <c r="AG211" s="2">
        <f t="shared" si="2852"/>
        <v>212</v>
      </c>
      <c r="AH211" s="2">
        <v>25</v>
      </c>
      <c r="AI211" s="2">
        <f t="shared" ref="AI211:AK211" si="2853">_xlfn.RANK.EQ(AH211, AH$7:AH$375,0)</f>
        <v>230</v>
      </c>
      <c r="AJ211" s="4">
        <v>0.8</v>
      </c>
      <c r="AK211" s="2">
        <f t="shared" si="2853"/>
        <v>85</v>
      </c>
      <c r="AL211" s="2">
        <v>28</v>
      </c>
      <c r="AM211" s="2">
        <f t="shared" ref="AM211:AO211" si="2854">_xlfn.RANK.EQ(AL211, AL$7:AL$375,0)</f>
        <v>159</v>
      </c>
      <c r="AN211" s="2">
        <v>31</v>
      </c>
      <c r="AO211" s="2">
        <f t="shared" si="2854"/>
        <v>259</v>
      </c>
      <c r="AP211" s="2">
        <v>59</v>
      </c>
      <c r="AQ211" s="2">
        <f t="shared" ref="AQ211:AS211" si="2855">_xlfn.RANK.EQ(AP211, AP$7:AP$375,0)</f>
        <v>227</v>
      </c>
      <c r="AR211" s="2">
        <v>35</v>
      </c>
      <c r="AS211" s="2">
        <f t="shared" si="2855"/>
        <v>242</v>
      </c>
      <c r="AT211" s="2">
        <v>21</v>
      </c>
      <c r="AU211" s="2">
        <f t="shared" ref="AU211:AW211" si="2856">_xlfn.RANK.EQ(AT211, AT$7:AT$375,0)</f>
        <v>247</v>
      </c>
      <c r="AV211" s="2">
        <v>6</v>
      </c>
      <c r="AW211" s="2">
        <f t="shared" si="2856"/>
        <v>293</v>
      </c>
      <c r="AX211" s="2">
        <v>2</v>
      </c>
      <c r="AY211" s="2">
        <f t="shared" ref="AY211:BA211" si="2857">_xlfn.RANK.EQ(AX211, AX$7:AX$375,0)</f>
        <v>234</v>
      </c>
      <c r="AZ211" s="2">
        <v>5</v>
      </c>
      <c r="BA211" s="2">
        <f t="shared" si="2857"/>
        <v>227</v>
      </c>
      <c r="BB211" s="2">
        <v>143</v>
      </c>
      <c r="BC211" s="2">
        <f t="shared" ref="BC211:BE211" si="2858">_xlfn.RANK.EQ(BB211, BB$7:BB$375,0)</f>
        <v>30</v>
      </c>
      <c r="BD211" s="2">
        <v>25</v>
      </c>
      <c r="BE211" s="2">
        <f t="shared" si="2858"/>
        <v>250</v>
      </c>
      <c r="BF211" s="2">
        <v>27</v>
      </c>
      <c r="BG211" s="2">
        <f t="shared" ref="BG211:BI211" si="2859">_xlfn.RANK.EQ(BF211, BF$7:BF$375,0)</f>
        <v>295</v>
      </c>
      <c r="BH211" s="2">
        <v>-25</v>
      </c>
      <c r="BI211" s="2">
        <f t="shared" si="2859"/>
        <v>200</v>
      </c>
    </row>
    <row r="212" spans="1:61" x14ac:dyDescent="0.55000000000000004">
      <c r="A212" s="2">
        <v>206</v>
      </c>
      <c r="B212" s="2" t="s">
        <v>262</v>
      </c>
      <c r="C212" s="2" t="s">
        <v>62</v>
      </c>
      <c r="D212" s="2">
        <v>54</v>
      </c>
      <c r="E212" s="2">
        <f t="shared" si="2691"/>
        <v>155</v>
      </c>
      <c r="F212" s="2">
        <v>21</v>
      </c>
      <c r="G212" s="2">
        <f t="shared" ref="G212:I212" si="2860">_xlfn.RANK.EQ(F212, F$7:F$375,0)</f>
        <v>146</v>
      </c>
      <c r="H212" s="3">
        <v>33.177777777777777</v>
      </c>
      <c r="I212" s="2">
        <f t="shared" si="2860"/>
        <v>186</v>
      </c>
      <c r="J212" s="5">
        <v>0.61388888888888893</v>
      </c>
      <c r="K212" s="2">
        <f t="shared" ref="K212:M212" si="2861">_xlfn.RANK.EQ(J212, J$7:J$375,0)</f>
        <v>225</v>
      </c>
      <c r="L212" s="2">
        <v>199</v>
      </c>
      <c r="M212" s="2">
        <f t="shared" si="2861"/>
        <v>206</v>
      </c>
      <c r="N212" s="2">
        <v>67</v>
      </c>
      <c r="O212" s="2">
        <f t="shared" ref="O212:Q212" si="2862">_xlfn.RANK.EQ(N212, N$7:N$375,0)</f>
        <v>208</v>
      </c>
      <c r="P212" s="2">
        <v>182</v>
      </c>
      <c r="Q212" s="2">
        <f t="shared" si="2862"/>
        <v>210</v>
      </c>
      <c r="R212" s="4">
        <v>0.36799999999999999</v>
      </c>
      <c r="S212" s="2">
        <f t="shared" ref="S212:U212" si="2863">_xlfn.RANK.EQ(R212, R$7:R$375,0)</f>
        <v>247</v>
      </c>
      <c r="T212" s="2">
        <v>35</v>
      </c>
      <c r="U212" s="2">
        <f t="shared" si="2863"/>
        <v>209</v>
      </c>
      <c r="V212" s="2">
        <v>83</v>
      </c>
      <c r="W212" s="2">
        <f t="shared" ref="W212:Y212" si="2864">_xlfn.RANK.EQ(V212, V$7:V$375,0)</f>
        <v>201</v>
      </c>
      <c r="X212" s="4">
        <v>0.42199999999999999</v>
      </c>
      <c r="Y212" s="2">
        <f t="shared" si="2864"/>
        <v>279</v>
      </c>
      <c r="Z212" s="2">
        <v>32</v>
      </c>
      <c r="AA212" s="2">
        <f t="shared" ref="AA212:AC212" si="2865">_xlfn.RANK.EQ(Z212, Z$7:Z$375,0)</f>
        <v>168</v>
      </c>
      <c r="AB212" s="2">
        <v>99</v>
      </c>
      <c r="AC212" s="2">
        <f t="shared" si="2865"/>
        <v>172</v>
      </c>
      <c r="AD212" s="4">
        <v>0.32300000000000001</v>
      </c>
      <c r="AE212" s="2">
        <f t="shared" ref="AE212:AG212" si="2866">_xlfn.RANK.EQ(AD212, AD$7:AD$375,0)</f>
        <v>175</v>
      </c>
      <c r="AF212" s="2">
        <v>33</v>
      </c>
      <c r="AG212" s="2">
        <f t="shared" si="2866"/>
        <v>162</v>
      </c>
      <c r="AH212" s="2">
        <v>38</v>
      </c>
      <c r="AI212" s="2">
        <f t="shared" ref="AI212:AK212" si="2867">_xlfn.RANK.EQ(AH212, AH$7:AH$375,0)</f>
        <v>181</v>
      </c>
      <c r="AJ212" s="4">
        <v>0.86799999999999999</v>
      </c>
      <c r="AK212" s="2">
        <f t="shared" si="2867"/>
        <v>30</v>
      </c>
      <c r="AL212" s="2">
        <v>9</v>
      </c>
      <c r="AM212" s="2">
        <f t="shared" ref="AM212:AO212" si="2868">_xlfn.RANK.EQ(AL212, AL$7:AL$375,0)</f>
        <v>283</v>
      </c>
      <c r="AN212" s="2">
        <v>41</v>
      </c>
      <c r="AO212" s="2">
        <f t="shared" si="2868"/>
        <v>227</v>
      </c>
      <c r="AP212" s="2">
        <v>50</v>
      </c>
      <c r="AQ212" s="2">
        <f t="shared" ref="AQ212:AS212" si="2869">_xlfn.RANK.EQ(AP212, AP$7:AP$375,0)</f>
        <v>247</v>
      </c>
      <c r="AR212" s="2">
        <v>59</v>
      </c>
      <c r="AS212" s="2">
        <f t="shared" si="2869"/>
        <v>201</v>
      </c>
      <c r="AT212" s="2">
        <v>32</v>
      </c>
      <c r="AU212" s="2">
        <f t="shared" ref="AU212:AW212" si="2870">_xlfn.RANK.EQ(AT212, AT$7:AT$375,0)</f>
        <v>204</v>
      </c>
      <c r="AV212" s="2">
        <v>31</v>
      </c>
      <c r="AW212" s="2">
        <f t="shared" si="2870"/>
        <v>139</v>
      </c>
      <c r="AX212" s="2">
        <v>5</v>
      </c>
      <c r="AY212" s="2">
        <f t="shared" ref="AY212:BA212" si="2871">_xlfn.RANK.EQ(AX212, AX$7:AX$375,0)</f>
        <v>169</v>
      </c>
      <c r="AZ212" s="2">
        <v>3</v>
      </c>
      <c r="BA212" s="2">
        <f t="shared" si="2871"/>
        <v>267</v>
      </c>
      <c r="BB212" s="2">
        <v>87</v>
      </c>
      <c r="BC212" s="2">
        <f t="shared" ref="BC212:BE212" si="2872">_xlfn.RANK.EQ(BB212, BB$7:BB$375,0)</f>
        <v>172</v>
      </c>
      <c r="BD212" s="2">
        <v>41</v>
      </c>
      <c r="BE212" s="2">
        <f t="shared" si="2872"/>
        <v>198</v>
      </c>
      <c r="BF212" s="2">
        <v>143</v>
      </c>
      <c r="BG212" s="2">
        <f t="shared" ref="BG212:BI212" si="2873">_xlfn.RANK.EQ(BF212, BF$7:BF$375,0)</f>
        <v>210</v>
      </c>
      <c r="BH212" s="2">
        <v>-181</v>
      </c>
      <c r="BI212" s="2">
        <f t="shared" si="2873"/>
        <v>333</v>
      </c>
    </row>
    <row r="213" spans="1:61" x14ac:dyDescent="0.55000000000000004">
      <c r="A213" s="2">
        <v>207</v>
      </c>
      <c r="B213" s="2" t="s">
        <v>263</v>
      </c>
      <c r="C213" s="2" t="s">
        <v>50</v>
      </c>
      <c r="D213" s="2">
        <v>30</v>
      </c>
      <c r="E213" s="2">
        <f t="shared" si="2691"/>
        <v>283</v>
      </c>
      <c r="F213" s="2">
        <v>0</v>
      </c>
      <c r="G213" s="2">
        <f t="shared" ref="G213:I213" si="2874">_xlfn.RANK.EQ(F213, F$7:F$375,0)</f>
        <v>291</v>
      </c>
      <c r="H213" s="3">
        <v>22.71875</v>
      </c>
      <c r="I213" s="2">
        <f t="shared" si="2874"/>
        <v>238</v>
      </c>
      <c r="J213" s="5">
        <v>0.75694444444444442</v>
      </c>
      <c r="K213" s="2">
        <f t="shared" ref="K213:M213" si="2875">_xlfn.RANK.EQ(J213, J$7:J$375,0)</f>
        <v>177</v>
      </c>
      <c r="L213" s="2">
        <v>196</v>
      </c>
      <c r="M213" s="2">
        <f t="shared" si="2875"/>
        <v>207</v>
      </c>
      <c r="N213" s="2">
        <v>75</v>
      </c>
      <c r="O213" s="2">
        <f t="shared" ref="O213:Q213" si="2876">_xlfn.RANK.EQ(N213, N$7:N$375,0)</f>
        <v>198</v>
      </c>
      <c r="P213" s="2">
        <v>150</v>
      </c>
      <c r="Q213" s="2">
        <f t="shared" si="2876"/>
        <v>227</v>
      </c>
      <c r="R213" s="4">
        <v>0.5</v>
      </c>
      <c r="S213" s="2">
        <f t="shared" ref="S213:U213" si="2877">_xlfn.RANK.EQ(R213, R$7:R$375,0)</f>
        <v>66</v>
      </c>
      <c r="T213" s="2">
        <v>65</v>
      </c>
      <c r="U213" s="2">
        <f t="shared" si="2877"/>
        <v>147</v>
      </c>
      <c r="V213" s="2">
        <v>103</v>
      </c>
      <c r="W213" s="2">
        <f t="shared" ref="W213:Y213" si="2878">_xlfn.RANK.EQ(V213, V$7:V$375,0)</f>
        <v>173</v>
      </c>
      <c r="X213" s="4">
        <v>0.63100000000000001</v>
      </c>
      <c r="Y213" s="2">
        <f t="shared" si="2878"/>
        <v>33</v>
      </c>
      <c r="Z213" s="2">
        <v>10</v>
      </c>
      <c r="AA213" s="2">
        <f t="shared" ref="AA213:AC213" si="2879">_xlfn.RANK.EQ(Z213, Z$7:Z$375,0)</f>
        <v>254</v>
      </c>
      <c r="AB213" s="2">
        <v>47</v>
      </c>
      <c r="AC213" s="2">
        <f t="shared" si="2879"/>
        <v>241</v>
      </c>
      <c r="AD213" s="4">
        <v>0.21299999999999999</v>
      </c>
      <c r="AE213" s="2">
        <f t="shared" ref="AE213:AG213" si="2880">_xlfn.RANK.EQ(AD213, AD$7:AD$375,0)</f>
        <v>294</v>
      </c>
      <c r="AF213" s="2">
        <v>36</v>
      </c>
      <c r="AG213" s="2">
        <f t="shared" si="2880"/>
        <v>155</v>
      </c>
      <c r="AH213" s="2">
        <v>45</v>
      </c>
      <c r="AI213" s="2">
        <f t="shared" ref="AI213:AK213" si="2881">_xlfn.RANK.EQ(AH213, AH$7:AH$375,0)</f>
        <v>159</v>
      </c>
      <c r="AJ213" s="4">
        <v>0.8</v>
      </c>
      <c r="AK213" s="2">
        <f t="shared" si="2881"/>
        <v>85</v>
      </c>
      <c r="AL213" s="2">
        <v>31</v>
      </c>
      <c r="AM213" s="2">
        <f t="shared" ref="AM213:AO213" si="2882">_xlfn.RANK.EQ(AL213, AL$7:AL$375,0)</f>
        <v>143</v>
      </c>
      <c r="AN213" s="2">
        <v>88</v>
      </c>
      <c r="AO213" s="2">
        <f t="shared" si="2882"/>
        <v>125</v>
      </c>
      <c r="AP213" s="2">
        <v>119</v>
      </c>
      <c r="AQ213" s="2">
        <f t="shared" ref="AQ213:AS213" si="2883">_xlfn.RANK.EQ(AP213, AP$7:AP$375,0)</f>
        <v>131</v>
      </c>
      <c r="AR213" s="2">
        <v>64</v>
      </c>
      <c r="AS213" s="2">
        <f t="shared" si="2883"/>
        <v>190</v>
      </c>
      <c r="AT213" s="2">
        <v>24</v>
      </c>
      <c r="AU213" s="2">
        <f t="shared" ref="AU213:AW213" si="2884">_xlfn.RANK.EQ(AT213, AT$7:AT$375,0)</f>
        <v>236</v>
      </c>
      <c r="AV213" s="2">
        <v>15</v>
      </c>
      <c r="AW213" s="2">
        <f t="shared" si="2884"/>
        <v>238</v>
      </c>
      <c r="AX213" s="2">
        <v>19</v>
      </c>
      <c r="AY213" s="2">
        <f t="shared" ref="AY213:BA213" si="2885">_xlfn.RANK.EQ(AX213, AX$7:AX$375,0)</f>
        <v>68</v>
      </c>
      <c r="AZ213" s="2">
        <v>4</v>
      </c>
      <c r="BA213" s="2">
        <f t="shared" si="2885"/>
        <v>246</v>
      </c>
      <c r="BB213" s="2">
        <v>65</v>
      </c>
      <c r="BC213" s="2">
        <f t="shared" ref="BC213:BE213" si="2886">_xlfn.RANK.EQ(BB213, BB$7:BB$375,0)</f>
        <v>229</v>
      </c>
      <c r="BD213" s="2">
        <v>40</v>
      </c>
      <c r="BE213" s="2">
        <f t="shared" si="2886"/>
        <v>201</v>
      </c>
      <c r="BF213" s="2">
        <v>276</v>
      </c>
      <c r="BG213" s="2">
        <f t="shared" ref="BG213:BI213" si="2887">_xlfn.RANK.EQ(BF213, BF$7:BF$375,0)</f>
        <v>155</v>
      </c>
      <c r="BH213" s="2">
        <v>-46</v>
      </c>
      <c r="BI213" s="2">
        <f t="shared" si="2887"/>
        <v>226</v>
      </c>
    </row>
    <row r="214" spans="1:61" x14ac:dyDescent="0.55000000000000004">
      <c r="A214" s="2">
        <v>207</v>
      </c>
      <c r="B214" s="2" t="s">
        <v>264</v>
      </c>
      <c r="C214" s="2" t="s">
        <v>46</v>
      </c>
      <c r="D214" s="2">
        <v>58</v>
      </c>
      <c r="E214" s="2">
        <f t="shared" si="2691"/>
        <v>78</v>
      </c>
      <c r="F214" s="2">
        <v>7</v>
      </c>
      <c r="G214" s="2">
        <f t="shared" ref="G214:I214" si="2888">_xlfn.RANK.EQ(F214, F$7:F$375,0)</f>
        <v>218</v>
      </c>
      <c r="H214" s="3">
        <v>33.754861111111111</v>
      </c>
      <c r="I214" s="2">
        <f t="shared" si="2888"/>
        <v>183</v>
      </c>
      <c r="J214" s="5">
        <v>0.58194444444444449</v>
      </c>
      <c r="K214" s="2">
        <f t="shared" ref="K214:M214" si="2889">_xlfn.RANK.EQ(J214, J$7:J$375,0)</f>
        <v>235</v>
      </c>
      <c r="L214" s="2">
        <v>196</v>
      </c>
      <c r="M214" s="2">
        <f t="shared" si="2889"/>
        <v>207</v>
      </c>
      <c r="N214" s="2">
        <v>65</v>
      </c>
      <c r="O214" s="2">
        <f t="shared" ref="O214:Q214" si="2890">_xlfn.RANK.EQ(N214, N$7:N$375,0)</f>
        <v>212</v>
      </c>
      <c r="P214" s="2">
        <v>158</v>
      </c>
      <c r="Q214" s="2">
        <f t="shared" si="2890"/>
        <v>222</v>
      </c>
      <c r="R214" s="4">
        <v>0.41099999999999998</v>
      </c>
      <c r="S214" s="2">
        <f t="shared" ref="S214:U214" si="2891">_xlfn.RANK.EQ(R214, R$7:R$375,0)</f>
        <v>181</v>
      </c>
      <c r="T214" s="2">
        <v>56</v>
      </c>
      <c r="U214" s="2">
        <f t="shared" si="2891"/>
        <v>160</v>
      </c>
      <c r="V214" s="2">
        <v>116</v>
      </c>
      <c r="W214" s="2">
        <f t="shared" ref="W214:Y214" si="2892">_xlfn.RANK.EQ(V214, V$7:V$375,0)</f>
        <v>167</v>
      </c>
      <c r="X214" s="4">
        <v>0.48299999999999998</v>
      </c>
      <c r="Y214" s="2">
        <f t="shared" si="2892"/>
        <v>204</v>
      </c>
      <c r="Z214" s="2">
        <v>9</v>
      </c>
      <c r="AA214" s="2">
        <f t="shared" ref="AA214:AC214" si="2893">_xlfn.RANK.EQ(Z214, Z$7:Z$375,0)</f>
        <v>262</v>
      </c>
      <c r="AB214" s="2">
        <v>42</v>
      </c>
      <c r="AC214" s="2">
        <f t="shared" si="2893"/>
        <v>249</v>
      </c>
      <c r="AD214" s="4">
        <v>0.214</v>
      </c>
      <c r="AE214" s="2">
        <f t="shared" ref="AE214:AG214" si="2894">_xlfn.RANK.EQ(AD214, AD$7:AD$375,0)</f>
        <v>291</v>
      </c>
      <c r="AF214" s="2">
        <v>57</v>
      </c>
      <c r="AG214" s="2">
        <f t="shared" si="2894"/>
        <v>113</v>
      </c>
      <c r="AH214" s="2">
        <v>83</v>
      </c>
      <c r="AI214" s="2">
        <f t="shared" ref="AI214:AK214" si="2895">_xlfn.RANK.EQ(AH214, AH$7:AH$375,0)</f>
        <v>111</v>
      </c>
      <c r="AJ214" s="4">
        <v>0.68700000000000006</v>
      </c>
      <c r="AK214" s="2">
        <f t="shared" si="2895"/>
        <v>210</v>
      </c>
      <c r="AL214" s="2">
        <v>58</v>
      </c>
      <c r="AM214" s="2">
        <f t="shared" ref="AM214:AO214" si="2896">_xlfn.RANK.EQ(AL214, AL$7:AL$375,0)</f>
        <v>77</v>
      </c>
      <c r="AN214" s="2">
        <v>121</v>
      </c>
      <c r="AO214" s="2">
        <f t="shared" si="2896"/>
        <v>94</v>
      </c>
      <c r="AP214" s="2">
        <v>179</v>
      </c>
      <c r="AQ214" s="2">
        <f t="shared" ref="AQ214:AS214" si="2897">_xlfn.RANK.EQ(AP214, AP$7:AP$375,0)</f>
        <v>87</v>
      </c>
      <c r="AR214" s="2">
        <v>60</v>
      </c>
      <c r="AS214" s="2">
        <f t="shared" si="2897"/>
        <v>199</v>
      </c>
      <c r="AT214" s="2">
        <v>46</v>
      </c>
      <c r="AU214" s="2">
        <f t="shared" ref="AU214:AW214" si="2898">_xlfn.RANK.EQ(AT214, AT$7:AT$375,0)</f>
        <v>154</v>
      </c>
      <c r="AV214" s="2">
        <v>16</v>
      </c>
      <c r="AW214" s="2">
        <f t="shared" si="2898"/>
        <v>233</v>
      </c>
      <c r="AX214" s="2">
        <v>26</v>
      </c>
      <c r="AY214" s="2">
        <f t="shared" ref="AY214:BA214" si="2899">_xlfn.RANK.EQ(AX214, AX$7:AX$375,0)</f>
        <v>48</v>
      </c>
      <c r="AZ214" s="2">
        <v>17</v>
      </c>
      <c r="BA214" s="2">
        <f t="shared" si="2899"/>
        <v>66</v>
      </c>
      <c r="BB214" s="2">
        <v>100</v>
      </c>
      <c r="BC214" s="2">
        <f t="shared" ref="BC214:BE214" si="2900">_xlfn.RANK.EQ(BB214, BB$7:BB$375,0)</f>
        <v>139</v>
      </c>
      <c r="BD214" s="2">
        <v>83</v>
      </c>
      <c r="BE214" s="2">
        <f t="shared" si="2900"/>
        <v>129</v>
      </c>
      <c r="BF214" s="2">
        <v>278</v>
      </c>
      <c r="BG214" s="2">
        <f t="shared" ref="BG214:BI214" si="2901">_xlfn.RANK.EQ(BF214, BF$7:BF$375,0)</f>
        <v>154</v>
      </c>
      <c r="BH214" s="2">
        <v>-141</v>
      </c>
      <c r="BI214" s="2">
        <f t="shared" si="2901"/>
        <v>315</v>
      </c>
    </row>
    <row r="215" spans="1:61" x14ac:dyDescent="0.55000000000000004">
      <c r="A215" s="2">
        <v>209</v>
      </c>
      <c r="B215" s="2" t="s">
        <v>265</v>
      </c>
      <c r="C215" s="2" t="s">
        <v>72</v>
      </c>
      <c r="D215" s="2">
        <v>51</v>
      </c>
      <c r="E215" s="2">
        <f t="shared" si="2691"/>
        <v>183</v>
      </c>
      <c r="F215" s="2">
        <v>4</v>
      </c>
      <c r="G215" s="2">
        <f t="shared" ref="G215:I215" si="2902">_xlfn.RANK.EQ(F215, F$7:F$375,0)</f>
        <v>244</v>
      </c>
      <c r="H215" s="3">
        <v>33.09236111111111</v>
      </c>
      <c r="I215" s="2">
        <f t="shared" si="2902"/>
        <v>187</v>
      </c>
      <c r="J215" s="5">
        <v>0.64861111111111114</v>
      </c>
      <c r="K215" s="2">
        <f t="shared" ref="K215:M215" si="2903">_xlfn.RANK.EQ(J215, J$7:J$375,0)</f>
        <v>211</v>
      </c>
      <c r="L215" s="2">
        <v>194</v>
      </c>
      <c r="M215" s="2">
        <f t="shared" si="2903"/>
        <v>209</v>
      </c>
      <c r="N215" s="2">
        <v>67</v>
      </c>
      <c r="O215" s="2">
        <f t="shared" ref="O215:Q215" si="2904">_xlfn.RANK.EQ(N215, N$7:N$375,0)</f>
        <v>208</v>
      </c>
      <c r="P215" s="2">
        <v>159</v>
      </c>
      <c r="Q215" s="2">
        <f t="shared" si="2904"/>
        <v>221</v>
      </c>
      <c r="R215" s="4">
        <v>0.42099999999999999</v>
      </c>
      <c r="S215" s="2">
        <f t="shared" ref="S215:U215" si="2905">_xlfn.RANK.EQ(R215, R$7:R$375,0)</f>
        <v>161</v>
      </c>
      <c r="T215" s="2">
        <v>21</v>
      </c>
      <c r="U215" s="2">
        <f t="shared" si="2905"/>
        <v>255</v>
      </c>
      <c r="V215" s="2">
        <v>31</v>
      </c>
      <c r="W215" s="2">
        <f t="shared" ref="W215:Y215" si="2906">_xlfn.RANK.EQ(V215, V$7:V$375,0)</f>
        <v>280</v>
      </c>
      <c r="X215" s="4">
        <v>0.67700000000000005</v>
      </c>
      <c r="Y215" s="2">
        <f t="shared" si="2906"/>
        <v>12</v>
      </c>
      <c r="Z215" s="2">
        <v>46</v>
      </c>
      <c r="AA215" s="2">
        <f t="shared" ref="AA215:AC215" si="2907">_xlfn.RANK.EQ(Z215, Z$7:Z$375,0)</f>
        <v>131</v>
      </c>
      <c r="AB215" s="2">
        <v>128</v>
      </c>
      <c r="AC215" s="2">
        <f t="shared" si="2907"/>
        <v>143</v>
      </c>
      <c r="AD215" s="4">
        <v>0.35899999999999999</v>
      </c>
      <c r="AE215" s="2">
        <f t="shared" ref="AE215:AG215" si="2908">_xlfn.RANK.EQ(AD215, AD$7:AD$375,0)</f>
        <v>99</v>
      </c>
      <c r="AF215" s="2">
        <v>14</v>
      </c>
      <c r="AG215" s="2">
        <f t="shared" si="2908"/>
        <v>244</v>
      </c>
      <c r="AH215" s="2">
        <v>17</v>
      </c>
      <c r="AI215" s="2">
        <f t="shared" ref="AI215:AK215" si="2909">_xlfn.RANK.EQ(AH215, AH$7:AH$375,0)</f>
        <v>260</v>
      </c>
      <c r="AJ215" s="4">
        <v>0.82399999999999995</v>
      </c>
      <c r="AK215" s="2">
        <f t="shared" si="2909"/>
        <v>60</v>
      </c>
      <c r="AL215" s="2">
        <v>11</v>
      </c>
      <c r="AM215" s="2">
        <f t="shared" ref="AM215:AO215" si="2910">_xlfn.RANK.EQ(AL215, AL$7:AL$375,0)</f>
        <v>272</v>
      </c>
      <c r="AN215" s="2">
        <v>34</v>
      </c>
      <c r="AO215" s="2">
        <f t="shared" si="2910"/>
        <v>245</v>
      </c>
      <c r="AP215" s="2">
        <v>45</v>
      </c>
      <c r="AQ215" s="2">
        <f t="shared" ref="AQ215:AS215" si="2911">_xlfn.RANK.EQ(AP215, AP$7:AP$375,0)</f>
        <v>257</v>
      </c>
      <c r="AR215" s="2">
        <v>59</v>
      </c>
      <c r="AS215" s="2">
        <f t="shared" si="2911"/>
        <v>201</v>
      </c>
      <c r="AT215" s="2">
        <v>27</v>
      </c>
      <c r="AU215" s="2">
        <f t="shared" ref="AU215:AW215" si="2912">_xlfn.RANK.EQ(AT215, AT$7:AT$375,0)</f>
        <v>219</v>
      </c>
      <c r="AV215" s="2">
        <v>21</v>
      </c>
      <c r="AW215" s="2">
        <f t="shared" si="2912"/>
        <v>204</v>
      </c>
      <c r="AX215" s="2">
        <v>3</v>
      </c>
      <c r="AY215" s="2">
        <f t="shared" ref="AY215:BA215" si="2913">_xlfn.RANK.EQ(AX215, AX$7:AX$375,0)</f>
        <v>208</v>
      </c>
      <c r="AZ215" s="2">
        <v>1</v>
      </c>
      <c r="BA215" s="2">
        <f t="shared" si="2913"/>
        <v>308</v>
      </c>
      <c r="BB215" s="2">
        <v>107</v>
      </c>
      <c r="BC215" s="2">
        <f t="shared" ref="BC215:BE215" si="2914">_xlfn.RANK.EQ(BB215, BB$7:BB$375,0)</f>
        <v>116</v>
      </c>
      <c r="BD215" s="2">
        <v>45</v>
      </c>
      <c r="BE215" s="2">
        <f t="shared" si="2914"/>
        <v>186</v>
      </c>
      <c r="BF215" s="2">
        <v>137</v>
      </c>
      <c r="BG215" s="2">
        <f t="shared" ref="BG215:BI215" si="2915">_xlfn.RANK.EQ(BF215, BF$7:BF$375,0)</f>
        <v>216</v>
      </c>
      <c r="BH215" s="2">
        <v>24</v>
      </c>
      <c r="BI215" s="2">
        <f t="shared" si="2915"/>
        <v>115</v>
      </c>
    </row>
    <row r="216" spans="1:61" x14ac:dyDescent="0.55000000000000004">
      <c r="A216" s="2">
        <v>210</v>
      </c>
      <c r="B216" s="2" t="s">
        <v>266</v>
      </c>
      <c r="C216" s="2" t="s">
        <v>57</v>
      </c>
      <c r="D216" s="2">
        <v>51</v>
      </c>
      <c r="E216" s="2">
        <f t="shared" si="2691"/>
        <v>183</v>
      </c>
      <c r="F216" s="2">
        <v>5</v>
      </c>
      <c r="G216" s="2">
        <f t="shared" ref="G216:I216" si="2916">_xlfn.RANK.EQ(F216, F$7:F$375,0)</f>
        <v>238</v>
      </c>
      <c r="H216" s="3">
        <v>31.046527777777779</v>
      </c>
      <c r="I216" s="2">
        <f t="shared" si="2916"/>
        <v>198</v>
      </c>
      <c r="J216" s="5">
        <v>0.60833333333333328</v>
      </c>
      <c r="K216" s="2">
        <f t="shared" ref="K216:M216" si="2917">_xlfn.RANK.EQ(J216, J$7:J$375,0)</f>
        <v>227</v>
      </c>
      <c r="L216" s="2">
        <v>189</v>
      </c>
      <c r="M216" s="2">
        <f t="shared" si="2917"/>
        <v>210</v>
      </c>
      <c r="N216" s="2">
        <v>65</v>
      </c>
      <c r="O216" s="2">
        <f t="shared" ref="O216:Q216" si="2918">_xlfn.RANK.EQ(N216, N$7:N$375,0)</f>
        <v>212</v>
      </c>
      <c r="P216" s="2">
        <v>162</v>
      </c>
      <c r="Q216" s="2">
        <f t="shared" si="2918"/>
        <v>218</v>
      </c>
      <c r="R216" s="4">
        <v>0.40100000000000002</v>
      </c>
      <c r="S216" s="2">
        <f t="shared" ref="S216:U216" si="2919">_xlfn.RANK.EQ(R216, R$7:R$375,0)</f>
        <v>198</v>
      </c>
      <c r="T216" s="2">
        <v>46</v>
      </c>
      <c r="U216" s="2">
        <f t="shared" si="2919"/>
        <v>184</v>
      </c>
      <c r="V216" s="2">
        <v>94</v>
      </c>
      <c r="W216" s="2">
        <f t="shared" ref="W216:Y216" si="2920">_xlfn.RANK.EQ(V216, V$7:V$375,0)</f>
        <v>182</v>
      </c>
      <c r="X216" s="4">
        <v>0.48899999999999999</v>
      </c>
      <c r="Y216" s="2">
        <f t="shared" si="2920"/>
        <v>198</v>
      </c>
      <c r="Z216" s="2">
        <v>19</v>
      </c>
      <c r="AA216" s="2">
        <f t="shared" ref="AA216:AC216" si="2921">_xlfn.RANK.EQ(Z216, Z$7:Z$375,0)</f>
        <v>213</v>
      </c>
      <c r="AB216" s="2">
        <v>68</v>
      </c>
      <c r="AC216" s="2">
        <f t="shared" si="2921"/>
        <v>207</v>
      </c>
      <c r="AD216" s="4">
        <v>0.27900000000000003</v>
      </c>
      <c r="AE216" s="2">
        <f t="shared" ref="AE216:AG216" si="2922">_xlfn.RANK.EQ(AD216, AD$7:AD$375,0)</f>
        <v>245</v>
      </c>
      <c r="AF216" s="2">
        <v>40</v>
      </c>
      <c r="AG216" s="2">
        <f t="shared" si="2922"/>
        <v>143</v>
      </c>
      <c r="AH216" s="2">
        <v>66</v>
      </c>
      <c r="AI216" s="2">
        <f t="shared" ref="AI216:AK216" si="2923">_xlfn.RANK.EQ(AH216, AH$7:AH$375,0)</f>
        <v>132</v>
      </c>
      <c r="AJ216" s="4">
        <v>0.60599999999999998</v>
      </c>
      <c r="AK216" s="2">
        <f t="shared" si="2923"/>
        <v>270</v>
      </c>
      <c r="AL216" s="2">
        <v>27</v>
      </c>
      <c r="AM216" s="2">
        <f t="shared" ref="AM216:AO216" si="2924">_xlfn.RANK.EQ(AL216, AL$7:AL$375,0)</f>
        <v>162</v>
      </c>
      <c r="AN216" s="2">
        <v>70</v>
      </c>
      <c r="AO216" s="2">
        <f t="shared" si="2924"/>
        <v>160</v>
      </c>
      <c r="AP216" s="2">
        <v>97</v>
      </c>
      <c r="AQ216" s="2">
        <f t="shared" ref="AQ216:AS216" si="2925">_xlfn.RANK.EQ(AP216, AP$7:AP$375,0)</f>
        <v>167</v>
      </c>
      <c r="AR216" s="2">
        <v>38</v>
      </c>
      <c r="AS216" s="2">
        <f t="shared" si="2925"/>
        <v>239</v>
      </c>
      <c r="AT216" s="2">
        <v>33</v>
      </c>
      <c r="AU216" s="2">
        <f t="shared" ref="AU216:AW216" si="2926">_xlfn.RANK.EQ(AT216, AT$7:AT$375,0)</f>
        <v>200</v>
      </c>
      <c r="AV216" s="2">
        <v>18</v>
      </c>
      <c r="AW216" s="2">
        <f t="shared" si="2926"/>
        <v>221</v>
      </c>
      <c r="AX216" s="2">
        <v>15</v>
      </c>
      <c r="AY216" s="2">
        <f t="shared" ref="AY216:BA216" si="2927">_xlfn.RANK.EQ(AX216, AX$7:AX$375,0)</f>
        <v>78</v>
      </c>
      <c r="AZ216" s="2">
        <v>20</v>
      </c>
      <c r="BA216" s="2">
        <f t="shared" si="2927"/>
        <v>46</v>
      </c>
      <c r="BB216" s="2">
        <v>120</v>
      </c>
      <c r="BC216" s="2">
        <f t="shared" ref="BC216:BE216" si="2928">_xlfn.RANK.EQ(BB216, BB$7:BB$375,0)</f>
        <v>83</v>
      </c>
      <c r="BD216" s="2">
        <v>65</v>
      </c>
      <c r="BE216" s="2">
        <f t="shared" si="2928"/>
        <v>148</v>
      </c>
      <c r="BF216" s="2">
        <v>126</v>
      </c>
      <c r="BG216" s="2">
        <f t="shared" ref="BG216:BI216" si="2929">_xlfn.RANK.EQ(BF216, BF$7:BF$375,0)</f>
        <v>229</v>
      </c>
      <c r="BH216" s="2">
        <v>-47</v>
      </c>
      <c r="BI216" s="2">
        <f t="shared" si="2929"/>
        <v>228</v>
      </c>
    </row>
    <row r="217" spans="1:61" x14ac:dyDescent="0.55000000000000004">
      <c r="A217" s="2">
        <v>211</v>
      </c>
      <c r="B217" s="2" t="s">
        <v>267</v>
      </c>
      <c r="C217" s="2" t="s">
        <v>48</v>
      </c>
      <c r="D217" s="2">
        <v>58</v>
      </c>
      <c r="E217" s="2">
        <f t="shared" si="2691"/>
        <v>78</v>
      </c>
      <c r="F217" s="2">
        <v>44</v>
      </c>
      <c r="G217" s="2">
        <f t="shared" ref="G217:I217" si="2930">_xlfn.RANK.EQ(F217, F$7:F$375,0)</f>
        <v>67</v>
      </c>
      <c r="H217" s="3">
        <v>41.270833333333336</v>
      </c>
      <c r="I217" s="2">
        <f t="shared" si="2930"/>
        <v>146</v>
      </c>
      <c r="J217" s="5">
        <v>0.71111111111111114</v>
      </c>
      <c r="K217" s="2">
        <f t="shared" ref="K217:M217" si="2931">_xlfn.RANK.EQ(J217, J$7:J$375,0)</f>
        <v>189</v>
      </c>
      <c r="L217" s="2">
        <v>181</v>
      </c>
      <c r="M217" s="2">
        <f t="shared" si="2931"/>
        <v>211</v>
      </c>
      <c r="N217" s="2">
        <v>68</v>
      </c>
      <c r="O217" s="2">
        <f t="shared" ref="O217:Q217" si="2932">_xlfn.RANK.EQ(N217, N$7:N$375,0)</f>
        <v>206</v>
      </c>
      <c r="P217" s="2">
        <v>188</v>
      </c>
      <c r="Q217" s="2">
        <f t="shared" si="2932"/>
        <v>203</v>
      </c>
      <c r="R217" s="4">
        <v>0.36199999999999999</v>
      </c>
      <c r="S217" s="2">
        <f t="shared" ref="S217:U217" si="2933">_xlfn.RANK.EQ(R217, R$7:R$375,0)</f>
        <v>260</v>
      </c>
      <c r="T217" s="2">
        <v>27</v>
      </c>
      <c r="U217" s="2">
        <f t="shared" si="2933"/>
        <v>237</v>
      </c>
      <c r="V217" s="2">
        <v>53</v>
      </c>
      <c r="W217" s="2">
        <f t="shared" ref="W217:Y217" si="2934">_xlfn.RANK.EQ(V217, V$7:V$375,0)</f>
        <v>244</v>
      </c>
      <c r="X217" s="4">
        <v>0.50900000000000001</v>
      </c>
      <c r="Y217" s="2">
        <f t="shared" si="2934"/>
        <v>169</v>
      </c>
      <c r="Z217" s="2">
        <v>41</v>
      </c>
      <c r="AA217" s="2">
        <f t="shared" ref="AA217:AC217" si="2935">_xlfn.RANK.EQ(Z217, Z$7:Z$375,0)</f>
        <v>144</v>
      </c>
      <c r="AB217" s="2">
        <v>135</v>
      </c>
      <c r="AC217" s="2">
        <f t="shared" si="2935"/>
        <v>136</v>
      </c>
      <c r="AD217" s="4">
        <v>0.30399999999999999</v>
      </c>
      <c r="AE217" s="2">
        <f t="shared" ref="AE217:AG217" si="2936">_xlfn.RANK.EQ(AD217, AD$7:AD$375,0)</f>
        <v>203</v>
      </c>
      <c r="AF217" s="2">
        <v>4</v>
      </c>
      <c r="AG217" s="2">
        <f t="shared" si="2936"/>
        <v>310</v>
      </c>
      <c r="AH217" s="2">
        <v>7</v>
      </c>
      <c r="AI217" s="2">
        <f t="shared" ref="AI217:AK217" si="2937">_xlfn.RANK.EQ(AH217, AH$7:AH$375,0)</f>
        <v>305</v>
      </c>
      <c r="AJ217" s="4">
        <v>0.57099999999999995</v>
      </c>
      <c r="AK217" s="2">
        <f t="shared" si="2937"/>
        <v>285</v>
      </c>
      <c r="AL217" s="2">
        <v>19</v>
      </c>
      <c r="AM217" s="2">
        <f t="shared" ref="AM217:AO217" si="2938">_xlfn.RANK.EQ(AL217, AL$7:AL$375,0)</f>
        <v>205</v>
      </c>
      <c r="AN217" s="2">
        <v>46</v>
      </c>
      <c r="AO217" s="2">
        <f t="shared" si="2938"/>
        <v>206</v>
      </c>
      <c r="AP217" s="2">
        <v>65</v>
      </c>
      <c r="AQ217" s="2">
        <f t="shared" ref="AQ217:AS217" si="2939">_xlfn.RANK.EQ(AP217, AP$7:AP$375,0)</f>
        <v>216</v>
      </c>
      <c r="AR217" s="2">
        <v>62</v>
      </c>
      <c r="AS217" s="2">
        <f t="shared" si="2939"/>
        <v>197</v>
      </c>
      <c r="AT217" s="2">
        <v>25</v>
      </c>
      <c r="AU217" s="2">
        <f t="shared" ref="AU217:AW217" si="2940">_xlfn.RANK.EQ(AT217, AT$7:AT$375,0)</f>
        <v>231</v>
      </c>
      <c r="AV217" s="2">
        <v>25</v>
      </c>
      <c r="AW217" s="2">
        <f t="shared" si="2940"/>
        <v>175</v>
      </c>
      <c r="AX217" s="2">
        <v>3</v>
      </c>
      <c r="AY217" s="2">
        <f t="shared" ref="AY217:BA217" si="2941">_xlfn.RANK.EQ(AX217, AX$7:AX$375,0)</f>
        <v>208</v>
      </c>
      <c r="AZ217" s="2">
        <v>7</v>
      </c>
      <c r="BA217" s="2">
        <f t="shared" si="2941"/>
        <v>195</v>
      </c>
      <c r="BB217" s="2">
        <v>154</v>
      </c>
      <c r="BC217" s="2">
        <f t="shared" ref="BC217:BE217" si="2942">_xlfn.RANK.EQ(BB217, BB$7:BB$375,0)</f>
        <v>14</v>
      </c>
      <c r="BD217" s="2">
        <v>28</v>
      </c>
      <c r="BE217" s="2">
        <f t="shared" si="2942"/>
        <v>238</v>
      </c>
      <c r="BF217" s="2">
        <v>55</v>
      </c>
      <c r="BG217" s="2">
        <f t="shared" ref="BG217:BI217" si="2943">_xlfn.RANK.EQ(BF217, BF$7:BF$375,0)</f>
        <v>272</v>
      </c>
      <c r="BH217" s="2">
        <v>-61</v>
      </c>
      <c r="BI217" s="2">
        <f t="shared" si="2943"/>
        <v>249</v>
      </c>
    </row>
    <row r="218" spans="1:61" x14ac:dyDescent="0.55000000000000004">
      <c r="A218" s="2">
        <v>212</v>
      </c>
      <c r="B218" s="2" t="s">
        <v>268</v>
      </c>
      <c r="C218" s="2" t="s">
        <v>40</v>
      </c>
      <c r="D218" s="2">
        <v>57</v>
      </c>
      <c r="E218" s="2">
        <f t="shared" si="2691"/>
        <v>100</v>
      </c>
      <c r="F218" s="2">
        <v>3</v>
      </c>
      <c r="G218" s="2">
        <f t="shared" ref="G218:I218" si="2944">_xlfn.RANK.EQ(F218, F$7:F$375,0)</f>
        <v>248</v>
      </c>
      <c r="H218" s="3">
        <v>26.03125</v>
      </c>
      <c r="I218" s="2">
        <f t="shared" si="2944"/>
        <v>225</v>
      </c>
      <c r="J218" s="5">
        <v>0.45624999999999999</v>
      </c>
      <c r="K218" s="2">
        <f t="shared" ref="K218:M218" si="2945">_xlfn.RANK.EQ(J218, J$7:J$375,0)</f>
        <v>262</v>
      </c>
      <c r="L218" s="2">
        <v>177</v>
      </c>
      <c r="M218" s="2">
        <f t="shared" si="2945"/>
        <v>212</v>
      </c>
      <c r="N218" s="2">
        <v>57</v>
      </c>
      <c r="O218" s="2">
        <f t="shared" ref="O218:Q218" si="2946">_xlfn.RANK.EQ(N218, N$7:N$375,0)</f>
        <v>222</v>
      </c>
      <c r="P218" s="2">
        <v>143</v>
      </c>
      <c r="Q218" s="2">
        <f t="shared" si="2946"/>
        <v>231</v>
      </c>
      <c r="R218" s="4">
        <v>0.39900000000000002</v>
      </c>
      <c r="S218" s="2">
        <f t="shared" ref="S218:U218" si="2947">_xlfn.RANK.EQ(R218, R$7:R$375,0)</f>
        <v>203</v>
      </c>
      <c r="T218" s="2">
        <v>10</v>
      </c>
      <c r="U218" s="2">
        <f t="shared" si="2947"/>
        <v>294</v>
      </c>
      <c r="V218" s="2">
        <v>23</v>
      </c>
      <c r="W218" s="2">
        <f t="shared" ref="W218:Y218" si="2948">_xlfn.RANK.EQ(V218, V$7:V$375,0)</f>
        <v>294</v>
      </c>
      <c r="X218" s="4">
        <v>0.435</v>
      </c>
      <c r="Y218" s="2">
        <f t="shared" si="2948"/>
        <v>266</v>
      </c>
      <c r="Z218" s="2">
        <v>47</v>
      </c>
      <c r="AA218" s="2">
        <f t="shared" ref="AA218:AC218" si="2949">_xlfn.RANK.EQ(Z218, Z$7:Z$375,0)</f>
        <v>128</v>
      </c>
      <c r="AB218" s="2">
        <v>120</v>
      </c>
      <c r="AC218" s="2">
        <f t="shared" si="2949"/>
        <v>151</v>
      </c>
      <c r="AD218" s="4">
        <v>0.39200000000000002</v>
      </c>
      <c r="AE218" s="2">
        <f t="shared" ref="AE218:AG218" si="2950">_xlfn.RANK.EQ(AD218, AD$7:AD$375,0)</f>
        <v>48</v>
      </c>
      <c r="AF218" s="2">
        <v>16</v>
      </c>
      <c r="AG218" s="2">
        <f t="shared" si="2950"/>
        <v>233</v>
      </c>
      <c r="AH218" s="2">
        <v>20</v>
      </c>
      <c r="AI218" s="2">
        <f t="shared" ref="AI218:AK218" si="2951">_xlfn.RANK.EQ(AH218, AH$7:AH$375,0)</f>
        <v>244</v>
      </c>
      <c r="AJ218" s="4">
        <v>0.8</v>
      </c>
      <c r="AK218" s="2">
        <f t="shared" si="2951"/>
        <v>85</v>
      </c>
      <c r="AL218" s="2">
        <v>16</v>
      </c>
      <c r="AM218" s="2">
        <f t="shared" ref="AM218:AO218" si="2952">_xlfn.RANK.EQ(AL218, AL$7:AL$375,0)</f>
        <v>233</v>
      </c>
      <c r="AN218" s="2">
        <v>35</v>
      </c>
      <c r="AO218" s="2">
        <f t="shared" si="2952"/>
        <v>240</v>
      </c>
      <c r="AP218" s="2">
        <v>51</v>
      </c>
      <c r="AQ218" s="2">
        <f t="shared" ref="AQ218:AS218" si="2953">_xlfn.RANK.EQ(AP218, AP$7:AP$375,0)</f>
        <v>246</v>
      </c>
      <c r="AR218" s="2">
        <v>73</v>
      </c>
      <c r="AS218" s="2">
        <f t="shared" si="2953"/>
        <v>173</v>
      </c>
      <c r="AT218" s="2">
        <v>36</v>
      </c>
      <c r="AU218" s="2">
        <f t="shared" ref="AU218:AW218" si="2954">_xlfn.RANK.EQ(AT218, AT$7:AT$375,0)</f>
        <v>187</v>
      </c>
      <c r="AV218" s="2">
        <v>12</v>
      </c>
      <c r="AW218" s="2">
        <f t="shared" si="2954"/>
        <v>260</v>
      </c>
      <c r="AX218" s="2">
        <v>0</v>
      </c>
      <c r="AY218" s="2">
        <f t="shared" ref="AY218:BA218" si="2955">_xlfn.RANK.EQ(AX218, AX$7:AX$375,0)</f>
        <v>298</v>
      </c>
      <c r="AZ218" s="2">
        <v>2</v>
      </c>
      <c r="BA218" s="2">
        <f t="shared" si="2955"/>
        <v>285</v>
      </c>
      <c r="BB218" s="2">
        <v>106</v>
      </c>
      <c r="BC218" s="2">
        <f t="shared" ref="BC218:BE218" si="2956">_xlfn.RANK.EQ(BB218, BB$7:BB$375,0)</f>
        <v>120</v>
      </c>
      <c r="BD218" s="2">
        <v>27</v>
      </c>
      <c r="BE218" s="2">
        <f t="shared" si="2956"/>
        <v>243</v>
      </c>
      <c r="BF218" s="2">
        <v>106</v>
      </c>
      <c r="BG218" s="2">
        <f t="shared" ref="BG218:BI218" si="2957">_xlfn.RANK.EQ(BF218, BF$7:BF$375,0)</f>
        <v>240</v>
      </c>
      <c r="BH218" s="2">
        <v>-56</v>
      </c>
      <c r="BI218" s="2">
        <f t="shared" si="2957"/>
        <v>241</v>
      </c>
    </row>
    <row r="219" spans="1:61" x14ac:dyDescent="0.55000000000000004">
      <c r="A219" s="2">
        <v>212</v>
      </c>
      <c r="B219" s="2" t="s">
        <v>269</v>
      </c>
      <c r="C219" s="2" t="s">
        <v>50</v>
      </c>
      <c r="D219" s="2">
        <v>48</v>
      </c>
      <c r="E219" s="2">
        <f t="shared" si="2691"/>
        <v>201</v>
      </c>
      <c r="F219" s="2">
        <v>1</v>
      </c>
      <c r="G219" s="2">
        <f t="shared" ref="G219:I219" si="2958">_xlfn.RANK.EQ(F219, F$7:F$375,0)</f>
        <v>272</v>
      </c>
      <c r="H219" s="3">
        <v>22.71875</v>
      </c>
      <c r="I219" s="2">
        <f t="shared" si="2958"/>
        <v>238</v>
      </c>
      <c r="J219" s="5">
        <v>0.47291666666666665</v>
      </c>
      <c r="K219" s="2">
        <f t="shared" ref="K219:M219" si="2959">_xlfn.RANK.EQ(J219, J$7:J$375,0)</f>
        <v>257</v>
      </c>
      <c r="L219" s="2">
        <v>177</v>
      </c>
      <c r="M219" s="2">
        <f t="shared" si="2959"/>
        <v>212</v>
      </c>
      <c r="N219" s="2">
        <v>62</v>
      </c>
      <c r="O219" s="2">
        <f t="shared" ref="O219:Q219" si="2960">_xlfn.RANK.EQ(N219, N$7:N$375,0)</f>
        <v>218</v>
      </c>
      <c r="P219" s="2">
        <v>154</v>
      </c>
      <c r="Q219" s="2">
        <f t="shared" si="2960"/>
        <v>223</v>
      </c>
      <c r="R219" s="4">
        <v>0.40300000000000002</v>
      </c>
      <c r="S219" s="2">
        <f t="shared" ref="S219:U219" si="2961">_xlfn.RANK.EQ(R219, R$7:R$375,0)</f>
        <v>194</v>
      </c>
      <c r="T219" s="2">
        <v>19</v>
      </c>
      <c r="U219" s="2">
        <f t="shared" si="2961"/>
        <v>263</v>
      </c>
      <c r="V219" s="2">
        <v>42</v>
      </c>
      <c r="W219" s="2">
        <f t="shared" ref="W219:Y219" si="2962">_xlfn.RANK.EQ(V219, V$7:V$375,0)</f>
        <v>263</v>
      </c>
      <c r="X219" s="4">
        <v>0.45200000000000001</v>
      </c>
      <c r="Y219" s="2">
        <f t="shared" si="2962"/>
        <v>239</v>
      </c>
      <c r="Z219" s="2">
        <v>43</v>
      </c>
      <c r="AA219" s="2">
        <f t="shared" ref="AA219:AC219" si="2963">_xlfn.RANK.EQ(Z219, Z$7:Z$375,0)</f>
        <v>140</v>
      </c>
      <c r="AB219" s="2">
        <v>112</v>
      </c>
      <c r="AC219" s="2">
        <f t="shared" si="2963"/>
        <v>156</v>
      </c>
      <c r="AD219" s="4">
        <v>0.38400000000000001</v>
      </c>
      <c r="AE219" s="2">
        <f t="shared" ref="AE219:AG219" si="2964">_xlfn.RANK.EQ(AD219, AD$7:AD$375,0)</f>
        <v>62</v>
      </c>
      <c r="AF219" s="2">
        <v>10</v>
      </c>
      <c r="AG219" s="2">
        <f t="shared" si="2964"/>
        <v>271</v>
      </c>
      <c r="AH219" s="2">
        <v>14</v>
      </c>
      <c r="AI219" s="2">
        <f t="shared" ref="AI219:AK219" si="2965">_xlfn.RANK.EQ(AH219, AH$7:AH$375,0)</f>
        <v>271</v>
      </c>
      <c r="AJ219" s="4">
        <v>0.71399999999999997</v>
      </c>
      <c r="AK219" s="2">
        <f t="shared" si="2965"/>
        <v>191</v>
      </c>
      <c r="AL219" s="2">
        <v>2</v>
      </c>
      <c r="AM219" s="2">
        <f t="shared" ref="AM219:AO219" si="2966">_xlfn.RANK.EQ(AL219, AL$7:AL$375,0)</f>
        <v>332</v>
      </c>
      <c r="AN219" s="2">
        <v>29</v>
      </c>
      <c r="AO219" s="2">
        <f t="shared" si="2966"/>
        <v>263</v>
      </c>
      <c r="AP219" s="2">
        <v>31</v>
      </c>
      <c r="AQ219" s="2">
        <f t="shared" ref="AQ219:AS219" si="2967">_xlfn.RANK.EQ(AP219, AP$7:AP$375,0)</f>
        <v>283</v>
      </c>
      <c r="AR219" s="2">
        <v>41</v>
      </c>
      <c r="AS219" s="2">
        <f t="shared" si="2967"/>
        <v>235</v>
      </c>
      <c r="AT219" s="2">
        <v>34</v>
      </c>
      <c r="AU219" s="2">
        <f t="shared" ref="AU219:AW219" si="2968">_xlfn.RANK.EQ(AT219, AT$7:AT$375,0)</f>
        <v>196</v>
      </c>
      <c r="AV219" s="2">
        <v>15</v>
      </c>
      <c r="AW219" s="2">
        <f t="shared" si="2968"/>
        <v>238</v>
      </c>
      <c r="AX219" s="2">
        <v>3</v>
      </c>
      <c r="AY219" s="2">
        <f t="shared" ref="AY219:BA219" si="2969">_xlfn.RANK.EQ(AX219, AX$7:AX$375,0)</f>
        <v>208</v>
      </c>
      <c r="AZ219" s="2">
        <v>3</v>
      </c>
      <c r="BA219" s="2">
        <f t="shared" si="2969"/>
        <v>267</v>
      </c>
      <c r="BB219" s="2">
        <v>95</v>
      </c>
      <c r="BC219" s="2">
        <f t="shared" ref="BC219:BE219" si="2970">_xlfn.RANK.EQ(BB219, BB$7:BB$375,0)</f>
        <v>152</v>
      </c>
      <c r="BD219" s="2">
        <v>30</v>
      </c>
      <c r="BE219" s="2">
        <f t="shared" si="2970"/>
        <v>230</v>
      </c>
      <c r="BF219" s="2">
        <v>69</v>
      </c>
      <c r="BG219" s="2">
        <f t="shared" ref="BG219:BI219" si="2971">_xlfn.RANK.EQ(BF219, BF$7:BF$375,0)</f>
        <v>264</v>
      </c>
      <c r="BH219" s="2">
        <v>-69</v>
      </c>
      <c r="BI219" s="2">
        <f t="shared" si="2971"/>
        <v>260</v>
      </c>
    </row>
    <row r="220" spans="1:61" x14ac:dyDescent="0.55000000000000004">
      <c r="A220" s="2">
        <v>214</v>
      </c>
      <c r="B220" s="2" t="s">
        <v>270</v>
      </c>
      <c r="C220" s="2" t="s">
        <v>86</v>
      </c>
      <c r="D220" s="2">
        <v>36</v>
      </c>
      <c r="E220" s="2">
        <f t="shared" si="2691"/>
        <v>263</v>
      </c>
      <c r="F220" s="2">
        <v>8</v>
      </c>
      <c r="G220" s="2">
        <f t="shared" ref="G220:I220" si="2972">_xlfn.RANK.EQ(F220, F$7:F$375,0)</f>
        <v>214</v>
      </c>
      <c r="H220" s="3">
        <v>22.310416666666665</v>
      </c>
      <c r="I220" s="2">
        <f t="shared" si="2972"/>
        <v>240</v>
      </c>
      <c r="J220" s="5">
        <v>0.61944444444444446</v>
      </c>
      <c r="K220" s="2">
        <f t="shared" ref="K220:M220" si="2973">_xlfn.RANK.EQ(J220, J$7:J$375,0)</f>
        <v>221</v>
      </c>
      <c r="L220" s="2">
        <v>175</v>
      </c>
      <c r="M220" s="2">
        <f t="shared" si="2973"/>
        <v>214</v>
      </c>
      <c r="N220" s="2">
        <v>64</v>
      </c>
      <c r="O220" s="2">
        <f t="shared" ref="O220:Q220" si="2974">_xlfn.RANK.EQ(N220, N$7:N$375,0)</f>
        <v>215</v>
      </c>
      <c r="P220" s="2">
        <v>207</v>
      </c>
      <c r="Q220" s="2">
        <f t="shared" si="2974"/>
        <v>195</v>
      </c>
      <c r="R220" s="4">
        <v>0.309</v>
      </c>
      <c r="S220" s="2">
        <f t="shared" ref="S220:U220" si="2975">_xlfn.RANK.EQ(R220, R$7:R$375,0)</f>
        <v>324</v>
      </c>
      <c r="T220" s="2">
        <v>48</v>
      </c>
      <c r="U220" s="2">
        <f t="shared" si="2975"/>
        <v>179</v>
      </c>
      <c r="V220" s="2">
        <v>129</v>
      </c>
      <c r="W220" s="2">
        <f t="shared" ref="W220:Y220" si="2976">_xlfn.RANK.EQ(V220, V$7:V$375,0)</f>
        <v>152</v>
      </c>
      <c r="X220" s="4">
        <v>0.372</v>
      </c>
      <c r="Y220" s="2">
        <f t="shared" si="2976"/>
        <v>314</v>
      </c>
      <c r="Z220" s="2">
        <v>16</v>
      </c>
      <c r="AA220" s="2">
        <f t="shared" ref="AA220:AC220" si="2977">_xlfn.RANK.EQ(Z220, Z$7:Z$375,0)</f>
        <v>222</v>
      </c>
      <c r="AB220" s="2">
        <v>78</v>
      </c>
      <c r="AC220" s="2">
        <f t="shared" si="2977"/>
        <v>195</v>
      </c>
      <c r="AD220" s="4">
        <v>0.20499999999999999</v>
      </c>
      <c r="AE220" s="2">
        <f t="shared" ref="AE220:AG220" si="2978">_xlfn.RANK.EQ(AD220, AD$7:AD$375,0)</f>
        <v>302</v>
      </c>
      <c r="AF220" s="2">
        <v>31</v>
      </c>
      <c r="AG220" s="2">
        <f t="shared" si="2978"/>
        <v>164</v>
      </c>
      <c r="AH220" s="2">
        <v>54</v>
      </c>
      <c r="AI220" s="2">
        <f t="shared" ref="AI220:AK220" si="2979">_xlfn.RANK.EQ(AH220, AH$7:AH$375,0)</f>
        <v>149</v>
      </c>
      <c r="AJ220" s="4">
        <v>0.57399999999999995</v>
      </c>
      <c r="AK220" s="2">
        <f t="shared" si="2979"/>
        <v>283</v>
      </c>
      <c r="AL220" s="2">
        <v>33</v>
      </c>
      <c r="AM220" s="2">
        <f t="shared" ref="AM220:AO220" si="2980">_xlfn.RANK.EQ(AL220, AL$7:AL$375,0)</f>
        <v>138</v>
      </c>
      <c r="AN220" s="2">
        <v>73</v>
      </c>
      <c r="AO220" s="2">
        <f t="shared" si="2980"/>
        <v>156</v>
      </c>
      <c r="AP220" s="2">
        <v>106</v>
      </c>
      <c r="AQ220" s="2">
        <f t="shared" ref="AQ220:AS220" si="2981">_xlfn.RANK.EQ(AP220, AP$7:AP$375,0)</f>
        <v>153</v>
      </c>
      <c r="AR220" s="2">
        <v>65</v>
      </c>
      <c r="AS220" s="2">
        <f t="shared" si="2981"/>
        <v>187</v>
      </c>
      <c r="AT220" s="2">
        <v>46</v>
      </c>
      <c r="AU220" s="2">
        <f t="shared" ref="AU220:AW220" si="2982">_xlfn.RANK.EQ(AT220, AT$7:AT$375,0)</f>
        <v>154</v>
      </c>
      <c r="AV220" s="2">
        <v>24</v>
      </c>
      <c r="AW220" s="2">
        <f t="shared" si="2982"/>
        <v>180</v>
      </c>
      <c r="AX220" s="2">
        <v>6</v>
      </c>
      <c r="AY220" s="2">
        <f t="shared" ref="AY220:BA220" si="2983">_xlfn.RANK.EQ(AX220, AX$7:AX$375,0)</f>
        <v>156</v>
      </c>
      <c r="AZ220" s="2">
        <v>17</v>
      </c>
      <c r="BA220" s="2">
        <f t="shared" si="2983"/>
        <v>66</v>
      </c>
      <c r="BB220" s="2">
        <v>68</v>
      </c>
      <c r="BC220" s="2">
        <f t="shared" ref="BC220:BE220" si="2984">_xlfn.RANK.EQ(BB220, BB$7:BB$375,0)</f>
        <v>222</v>
      </c>
      <c r="BD220" s="2">
        <v>56</v>
      </c>
      <c r="BE220" s="2">
        <f t="shared" si="2984"/>
        <v>166</v>
      </c>
      <c r="BF220" s="2">
        <v>134</v>
      </c>
      <c r="BG220" s="2">
        <f t="shared" ref="BG220:BI220" si="2985">_xlfn.RANK.EQ(BF220, BF$7:BF$375,0)</f>
        <v>219</v>
      </c>
      <c r="BH220" s="2">
        <v>-137</v>
      </c>
      <c r="BI220" s="2">
        <f t="shared" si="2985"/>
        <v>312</v>
      </c>
    </row>
    <row r="221" spans="1:61" x14ac:dyDescent="0.55000000000000004">
      <c r="A221" s="2">
        <v>215</v>
      </c>
      <c r="B221" s="2" t="s">
        <v>271</v>
      </c>
      <c r="C221" s="2" t="s">
        <v>106</v>
      </c>
      <c r="D221" s="2">
        <v>56</v>
      </c>
      <c r="E221" s="2">
        <f t="shared" si="2691"/>
        <v>124</v>
      </c>
      <c r="F221" s="2">
        <v>9</v>
      </c>
      <c r="G221" s="2">
        <f t="shared" ref="G221:I221" si="2986">_xlfn.RANK.EQ(F221, F$7:F$375,0)</f>
        <v>206</v>
      </c>
      <c r="H221" s="3">
        <v>27.280555555555555</v>
      </c>
      <c r="I221" s="2">
        <f t="shared" si="2986"/>
        <v>219</v>
      </c>
      <c r="J221" s="5">
        <v>0.48680555555555555</v>
      </c>
      <c r="K221" s="2">
        <f t="shared" ref="K221:M221" si="2987">_xlfn.RANK.EQ(J221, J$7:J$375,0)</f>
        <v>252</v>
      </c>
      <c r="L221" s="2">
        <v>174</v>
      </c>
      <c r="M221" s="2">
        <f t="shared" si="2987"/>
        <v>215</v>
      </c>
      <c r="N221" s="2">
        <v>68</v>
      </c>
      <c r="O221" s="2">
        <f t="shared" ref="O221:Q221" si="2988">_xlfn.RANK.EQ(N221, N$7:N$375,0)</f>
        <v>206</v>
      </c>
      <c r="P221" s="2">
        <v>186</v>
      </c>
      <c r="Q221" s="2">
        <f t="shared" si="2988"/>
        <v>205</v>
      </c>
      <c r="R221" s="4">
        <v>0.36599999999999999</v>
      </c>
      <c r="S221" s="2">
        <f t="shared" ref="S221:U221" si="2989">_xlfn.RANK.EQ(R221, R$7:R$375,0)</f>
        <v>252</v>
      </c>
      <c r="T221" s="2">
        <v>34</v>
      </c>
      <c r="U221" s="2">
        <f t="shared" si="2989"/>
        <v>214</v>
      </c>
      <c r="V221" s="2">
        <v>86</v>
      </c>
      <c r="W221" s="2">
        <f t="shared" ref="W221:Y221" si="2990">_xlfn.RANK.EQ(V221, V$7:V$375,0)</f>
        <v>196</v>
      </c>
      <c r="X221" s="4">
        <v>0.39500000000000002</v>
      </c>
      <c r="Y221" s="2">
        <f t="shared" si="2990"/>
        <v>303</v>
      </c>
      <c r="Z221" s="2">
        <v>34</v>
      </c>
      <c r="AA221" s="2">
        <f t="shared" ref="AA221:AC221" si="2991">_xlfn.RANK.EQ(Z221, Z$7:Z$375,0)</f>
        <v>159</v>
      </c>
      <c r="AB221" s="2">
        <v>100</v>
      </c>
      <c r="AC221" s="2">
        <f t="shared" si="2991"/>
        <v>170</v>
      </c>
      <c r="AD221" s="4">
        <v>0.34</v>
      </c>
      <c r="AE221" s="2">
        <f t="shared" ref="AE221:AG221" si="2992">_xlfn.RANK.EQ(AD221, AD$7:AD$375,0)</f>
        <v>135</v>
      </c>
      <c r="AF221" s="2">
        <v>4</v>
      </c>
      <c r="AG221" s="2">
        <f t="shared" si="2992"/>
        <v>310</v>
      </c>
      <c r="AH221" s="2">
        <v>4</v>
      </c>
      <c r="AI221" s="2">
        <f t="shared" ref="AI221:AK221" si="2993">_xlfn.RANK.EQ(AH221, AH$7:AH$375,0)</f>
        <v>321</v>
      </c>
      <c r="AJ221" s="4">
        <v>1</v>
      </c>
      <c r="AK221" s="2">
        <f t="shared" si="2993"/>
        <v>1</v>
      </c>
      <c r="AL221" s="2">
        <v>20</v>
      </c>
      <c r="AM221" s="2">
        <f t="shared" ref="AM221:AO221" si="2994">_xlfn.RANK.EQ(AL221, AL$7:AL$375,0)</f>
        <v>198</v>
      </c>
      <c r="AN221" s="2">
        <v>50</v>
      </c>
      <c r="AO221" s="2">
        <f t="shared" si="2994"/>
        <v>196</v>
      </c>
      <c r="AP221" s="2">
        <v>70</v>
      </c>
      <c r="AQ221" s="2">
        <f t="shared" ref="AQ221:AS221" si="2995">_xlfn.RANK.EQ(AP221, AP$7:AP$375,0)</f>
        <v>204</v>
      </c>
      <c r="AR221" s="2">
        <v>92</v>
      </c>
      <c r="AS221" s="2">
        <f t="shared" si="2995"/>
        <v>138</v>
      </c>
      <c r="AT221" s="2">
        <v>44</v>
      </c>
      <c r="AU221" s="2">
        <f t="shared" ref="AU221:AW221" si="2996">_xlfn.RANK.EQ(AT221, AT$7:AT$375,0)</f>
        <v>161</v>
      </c>
      <c r="AV221" s="2">
        <v>17</v>
      </c>
      <c r="AW221" s="2">
        <f t="shared" si="2996"/>
        <v>227</v>
      </c>
      <c r="AX221" s="2">
        <v>2</v>
      </c>
      <c r="AY221" s="2">
        <f t="shared" ref="AY221:BA221" si="2997">_xlfn.RANK.EQ(AX221, AX$7:AX$375,0)</f>
        <v>234</v>
      </c>
      <c r="AZ221" s="2">
        <v>5</v>
      </c>
      <c r="BA221" s="2">
        <f t="shared" si="2997"/>
        <v>227</v>
      </c>
      <c r="BB221" s="2">
        <v>84</v>
      </c>
      <c r="BC221" s="2">
        <f t="shared" ref="BC221:BE221" si="2998">_xlfn.RANK.EQ(BB221, BB$7:BB$375,0)</f>
        <v>180</v>
      </c>
      <c r="BD221" s="2">
        <v>23</v>
      </c>
      <c r="BE221" s="2">
        <f t="shared" si="2998"/>
        <v>258</v>
      </c>
      <c r="BF221" s="2">
        <v>126</v>
      </c>
      <c r="BG221" s="2">
        <f t="shared" ref="BG221:BI221" si="2999">_xlfn.RANK.EQ(BF221, BF$7:BF$375,0)</f>
        <v>229</v>
      </c>
      <c r="BH221" s="2">
        <v>-100</v>
      </c>
      <c r="BI221" s="2">
        <f t="shared" si="2999"/>
        <v>279</v>
      </c>
    </row>
    <row r="222" spans="1:61" x14ac:dyDescent="0.55000000000000004">
      <c r="A222" s="2">
        <v>216</v>
      </c>
      <c r="B222" s="2" t="s">
        <v>272</v>
      </c>
      <c r="C222" s="2" t="s">
        <v>62</v>
      </c>
      <c r="D222" s="2">
        <v>49</v>
      </c>
      <c r="E222" s="2">
        <f t="shared" si="2691"/>
        <v>194</v>
      </c>
      <c r="F222" s="2">
        <v>9</v>
      </c>
      <c r="G222" s="2">
        <f t="shared" ref="G222:I222" si="3000">_xlfn.RANK.EQ(F222, F$7:F$375,0)</f>
        <v>206</v>
      </c>
      <c r="H222" s="3">
        <v>31.011111111111113</v>
      </c>
      <c r="I222" s="2">
        <f t="shared" si="3000"/>
        <v>199</v>
      </c>
      <c r="J222" s="5">
        <v>0.63263888888888886</v>
      </c>
      <c r="K222" s="2">
        <f t="shared" ref="K222:M222" si="3001">_xlfn.RANK.EQ(J222, J$7:J$375,0)</f>
        <v>216</v>
      </c>
      <c r="L222" s="2">
        <v>169</v>
      </c>
      <c r="M222" s="2">
        <f t="shared" si="3001"/>
        <v>216</v>
      </c>
      <c r="N222" s="2">
        <v>64</v>
      </c>
      <c r="O222" s="2">
        <f t="shared" ref="O222:Q222" si="3002">_xlfn.RANK.EQ(N222, N$7:N$375,0)</f>
        <v>215</v>
      </c>
      <c r="P222" s="2">
        <v>197</v>
      </c>
      <c r="Q222" s="2">
        <f t="shared" si="3002"/>
        <v>199</v>
      </c>
      <c r="R222" s="4">
        <v>0.32500000000000001</v>
      </c>
      <c r="S222" s="2">
        <f t="shared" ref="S222:U222" si="3003">_xlfn.RANK.EQ(R222, R$7:R$375,0)</f>
        <v>311</v>
      </c>
      <c r="T222" s="2">
        <v>35</v>
      </c>
      <c r="U222" s="2">
        <f t="shared" si="3003"/>
        <v>209</v>
      </c>
      <c r="V222" s="2">
        <v>88</v>
      </c>
      <c r="W222" s="2">
        <f t="shared" ref="W222:Y222" si="3004">_xlfn.RANK.EQ(V222, V$7:V$375,0)</f>
        <v>189</v>
      </c>
      <c r="X222" s="4">
        <v>0.39800000000000002</v>
      </c>
      <c r="Y222" s="2">
        <f t="shared" si="3004"/>
        <v>301</v>
      </c>
      <c r="Z222" s="2">
        <v>29</v>
      </c>
      <c r="AA222" s="2">
        <f t="shared" ref="AA222:AC222" si="3005">_xlfn.RANK.EQ(Z222, Z$7:Z$375,0)</f>
        <v>178</v>
      </c>
      <c r="AB222" s="2">
        <v>109</v>
      </c>
      <c r="AC222" s="2">
        <f t="shared" si="3005"/>
        <v>159</v>
      </c>
      <c r="AD222" s="4">
        <v>0.26600000000000001</v>
      </c>
      <c r="AE222" s="2">
        <f t="shared" ref="AE222:AG222" si="3006">_xlfn.RANK.EQ(AD222, AD$7:AD$375,0)</f>
        <v>259</v>
      </c>
      <c r="AF222" s="2">
        <v>12</v>
      </c>
      <c r="AG222" s="2">
        <f t="shared" si="3006"/>
        <v>261</v>
      </c>
      <c r="AH222" s="2">
        <v>19</v>
      </c>
      <c r="AI222" s="2">
        <f t="shared" ref="AI222:AK222" si="3007">_xlfn.RANK.EQ(AH222, AH$7:AH$375,0)</f>
        <v>247</v>
      </c>
      <c r="AJ222" s="4">
        <v>0.63200000000000001</v>
      </c>
      <c r="AK222" s="2">
        <f t="shared" si="3007"/>
        <v>254</v>
      </c>
      <c r="AL222" s="2">
        <v>26</v>
      </c>
      <c r="AM222" s="2">
        <f t="shared" ref="AM222:AO222" si="3008">_xlfn.RANK.EQ(AL222, AL$7:AL$375,0)</f>
        <v>168</v>
      </c>
      <c r="AN222" s="2">
        <v>82</v>
      </c>
      <c r="AO222" s="2">
        <f t="shared" si="3008"/>
        <v>140</v>
      </c>
      <c r="AP222" s="2">
        <v>108</v>
      </c>
      <c r="AQ222" s="2">
        <f t="shared" ref="AQ222:AS222" si="3009">_xlfn.RANK.EQ(AP222, AP$7:AP$375,0)</f>
        <v>150</v>
      </c>
      <c r="AR222" s="2">
        <v>45</v>
      </c>
      <c r="AS222" s="2">
        <f t="shared" si="3009"/>
        <v>227</v>
      </c>
      <c r="AT222" s="2">
        <v>27</v>
      </c>
      <c r="AU222" s="2">
        <f t="shared" ref="AU222:AW222" si="3010">_xlfn.RANK.EQ(AT222, AT$7:AT$375,0)</f>
        <v>219</v>
      </c>
      <c r="AV222" s="2">
        <v>21</v>
      </c>
      <c r="AW222" s="2">
        <f t="shared" si="3010"/>
        <v>204</v>
      </c>
      <c r="AX222" s="2">
        <v>11</v>
      </c>
      <c r="AY222" s="2">
        <f t="shared" ref="AY222:BA222" si="3011">_xlfn.RANK.EQ(AX222, AX$7:AX$375,0)</f>
        <v>97</v>
      </c>
      <c r="AZ222" s="2">
        <v>8</v>
      </c>
      <c r="BA222" s="2">
        <f t="shared" si="3011"/>
        <v>181</v>
      </c>
      <c r="BB222" s="2">
        <v>82</v>
      </c>
      <c r="BC222" s="2">
        <f t="shared" ref="BC222:BE222" si="3012">_xlfn.RANK.EQ(BB222, BB$7:BB$375,0)</f>
        <v>186</v>
      </c>
      <c r="BD222" s="2">
        <v>20</v>
      </c>
      <c r="BE222" s="2">
        <f t="shared" si="3012"/>
        <v>269</v>
      </c>
      <c r="BF222" s="2">
        <v>117</v>
      </c>
      <c r="BG222" s="2">
        <f t="shared" ref="BG222:BI222" si="3013">_xlfn.RANK.EQ(BF222, BF$7:BF$375,0)</f>
        <v>234</v>
      </c>
      <c r="BH222" s="2">
        <v>-107</v>
      </c>
      <c r="BI222" s="2">
        <f t="shared" si="3013"/>
        <v>286</v>
      </c>
    </row>
    <row r="223" spans="1:61" x14ac:dyDescent="0.55000000000000004">
      <c r="A223" s="2">
        <v>216</v>
      </c>
      <c r="B223" s="2" t="s">
        <v>273</v>
      </c>
      <c r="C223" s="2" t="s">
        <v>67</v>
      </c>
      <c r="D223" s="2">
        <v>36</v>
      </c>
      <c r="E223" s="2">
        <f t="shared" si="2691"/>
        <v>263</v>
      </c>
      <c r="F223" s="2">
        <v>0</v>
      </c>
      <c r="G223" s="2">
        <f t="shared" ref="G223:I223" si="3014">_xlfn.RANK.EQ(F223, F$7:F$375,0)</f>
        <v>291</v>
      </c>
      <c r="H223" s="3">
        <v>23.370138888888889</v>
      </c>
      <c r="I223" s="2">
        <f t="shared" si="3014"/>
        <v>232</v>
      </c>
      <c r="J223" s="5">
        <v>0.64861111111111114</v>
      </c>
      <c r="K223" s="2">
        <f t="shared" ref="K223:M223" si="3015">_xlfn.RANK.EQ(J223, J$7:J$375,0)</f>
        <v>211</v>
      </c>
      <c r="L223" s="2">
        <v>169</v>
      </c>
      <c r="M223" s="2">
        <f t="shared" si="3015"/>
        <v>216</v>
      </c>
      <c r="N223" s="2">
        <v>73</v>
      </c>
      <c r="O223" s="2">
        <f t="shared" ref="O223:Q223" si="3016">_xlfn.RANK.EQ(N223, N$7:N$375,0)</f>
        <v>203</v>
      </c>
      <c r="P223" s="2">
        <v>172</v>
      </c>
      <c r="Q223" s="2">
        <f t="shared" si="3016"/>
        <v>213</v>
      </c>
      <c r="R223" s="4">
        <v>0.42399999999999999</v>
      </c>
      <c r="S223" s="2">
        <f t="shared" ref="S223:U223" si="3017">_xlfn.RANK.EQ(R223, R$7:R$375,0)</f>
        <v>157</v>
      </c>
      <c r="T223" s="2">
        <v>71</v>
      </c>
      <c r="U223" s="2">
        <f t="shared" si="3017"/>
        <v>137</v>
      </c>
      <c r="V223" s="2">
        <v>154</v>
      </c>
      <c r="W223" s="2">
        <f t="shared" ref="W223:Y223" si="3018">_xlfn.RANK.EQ(V223, V$7:V$375,0)</f>
        <v>130</v>
      </c>
      <c r="X223" s="4">
        <v>0.46100000000000002</v>
      </c>
      <c r="Y223" s="2">
        <f t="shared" si="3018"/>
        <v>231</v>
      </c>
      <c r="Z223" s="2">
        <v>2</v>
      </c>
      <c r="AA223" s="2">
        <f t="shared" ref="AA223:AC223" si="3019">_xlfn.RANK.EQ(Z223, Z$7:Z$375,0)</f>
        <v>304</v>
      </c>
      <c r="AB223" s="2">
        <v>18</v>
      </c>
      <c r="AC223" s="2">
        <f t="shared" si="3019"/>
        <v>289</v>
      </c>
      <c r="AD223" s="4">
        <v>0.111</v>
      </c>
      <c r="AE223" s="2">
        <f t="shared" ref="AE223:AG223" si="3020">_xlfn.RANK.EQ(AD223, AD$7:AD$375,0)</f>
        <v>324</v>
      </c>
      <c r="AF223" s="2">
        <v>21</v>
      </c>
      <c r="AG223" s="2">
        <f t="shared" si="3020"/>
        <v>206</v>
      </c>
      <c r="AH223" s="2">
        <v>35</v>
      </c>
      <c r="AI223" s="2">
        <f t="shared" ref="AI223:AK223" si="3021">_xlfn.RANK.EQ(AH223, AH$7:AH$375,0)</f>
        <v>194</v>
      </c>
      <c r="AJ223" s="4">
        <v>0.6</v>
      </c>
      <c r="AK223" s="2">
        <f t="shared" si="3021"/>
        <v>273</v>
      </c>
      <c r="AL223" s="2">
        <v>27</v>
      </c>
      <c r="AM223" s="2">
        <f t="shared" ref="AM223:AO223" si="3022">_xlfn.RANK.EQ(AL223, AL$7:AL$375,0)</f>
        <v>162</v>
      </c>
      <c r="AN223" s="2">
        <v>60</v>
      </c>
      <c r="AO223" s="2">
        <f t="shared" si="3022"/>
        <v>182</v>
      </c>
      <c r="AP223" s="2">
        <v>87</v>
      </c>
      <c r="AQ223" s="2">
        <f t="shared" ref="AQ223:AS223" si="3023">_xlfn.RANK.EQ(AP223, AP$7:AP$375,0)</f>
        <v>178</v>
      </c>
      <c r="AR223" s="2">
        <v>102</v>
      </c>
      <c r="AS223" s="2">
        <f t="shared" si="3023"/>
        <v>126</v>
      </c>
      <c r="AT223" s="2">
        <v>38</v>
      </c>
      <c r="AU223" s="2">
        <f t="shared" ref="AU223:AW223" si="3024">_xlfn.RANK.EQ(AT223, AT$7:AT$375,0)</f>
        <v>182</v>
      </c>
      <c r="AV223" s="2">
        <v>30</v>
      </c>
      <c r="AW223" s="2">
        <f t="shared" si="3024"/>
        <v>145</v>
      </c>
      <c r="AX223" s="2">
        <v>3</v>
      </c>
      <c r="AY223" s="2">
        <f t="shared" ref="AY223:BA223" si="3025">_xlfn.RANK.EQ(AX223, AX$7:AX$375,0)</f>
        <v>208</v>
      </c>
      <c r="AZ223" s="2">
        <v>8</v>
      </c>
      <c r="BA223" s="2">
        <f t="shared" si="3025"/>
        <v>181</v>
      </c>
      <c r="BB223" s="2">
        <v>69</v>
      </c>
      <c r="BC223" s="2">
        <f t="shared" ref="BC223:BE223" si="3026">_xlfn.RANK.EQ(BB223, BB$7:BB$375,0)</f>
        <v>218</v>
      </c>
      <c r="BD223" s="2">
        <v>40</v>
      </c>
      <c r="BE223" s="2">
        <f t="shared" si="3026"/>
        <v>201</v>
      </c>
      <c r="BF223" s="2">
        <v>203</v>
      </c>
      <c r="BG223" s="2">
        <f t="shared" ref="BG223:BI223" si="3027">_xlfn.RANK.EQ(BF223, BF$7:BF$375,0)</f>
        <v>186</v>
      </c>
      <c r="BH223" s="2">
        <v>154</v>
      </c>
      <c r="BI223" s="2">
        <f t="shared" si="3027"/>
        <v>61</v>
      </c>
    </row>
    <row r="224" spans="1:61" x14ac:dyDescent="0.55000000000000004">
      <c r="A224" s="2">
        <v>218</v>
      </c>
      <c r="B224" s="2" t="s">
        <v>274</v>
      </c>
      <c r="C224" s="2" t="s">
        <v>46</v>
      </c>
      <c r="D224" s="2">
        <v>57</v>
      </c>
      <c r="E224" s="2">
        <f t="shared" si="2691"/>
        <v>100</v>
      </c>
      <c r="F224" s="2">
        <v>11</v>
      </c>
      <c r="G224" s="2">
        <f t="shared" ref="G224:I224" si="3028">_xlfn.RANK.EQ(F224, F$7:F$375,0)</f>
        <v>197</v>
      </c>
      <c r="H224" s="3">
        <v>26.736111111111111</v>
      </c>
      <c r="I224" s="2">
        <f t="shared" si="3028"/>
        <v>223</v>
      </c>
      <c r="J224" s="5">
        <v>0.46875</v>
      </c>
      <c r="K224" s="2">
        <f t="shared" ref="K224:M224" si="3029">_xlfn.RANK.EQ(J224, J$7:J$375,0)</f>
        <v>259</v>
      </c>
      <c r="L224" s="2">
        <v>166</v>
      </c>
      <c r="M224" s="2">
        <f t="shared" si="3029"/>
        <v>218</v>
      </c>
      <c r="N224" s="2">
        <v>66</v>
      </c>
      <c r="O224" s="2">
        <f t="shared" ref="O224:Q224" si="3030">_xlfn.RANK.EQ(N224, N$7:N$375,0)</f>
        <v>211</v>
      </c>
      <c r="P224" s="2">
        <v>161</v>
      </c>
      <c r="Q224" s="2">
        <f t="shared" si="3030"/>
        <v>219</v>
      </c>
      <c r="R224" s="4">
        <v>0.41</v>
      </c>
      <c r="S224" s="2">
        <f t="shared" ref="S224:U224" si="3031">_xlfn.RANK.EQ(R224, R$7:R$375,0)</f>
        <v>183</v>
      </c>
      <c r="T224" s="2">
        <v>40</v>
      </c>
      <c r="U224" s="2">
        <f t="shared" si="3031"/>
        <v>196</v>
      </c>
      <c r="V224" s="2">
        <v>61</v>
      </c>
      <c r="W224" s="2">
        <f t="shared" ref="W224:Y224" si="3032">_xlfn.RANK.EQ(V224, V$7:V$375,0)</f>
        <v>233</v>
      </c>
      <c r="X224" s="4">
        <v>0.65600000000000003</v>
      </c>
      <c r="Y224" s="2">
        <f t="shared" si="3032"/>
        <v>19</v>
      </c>
      <c r="Z224" s="2">
        <v>26</v>
      </c>
      <c r="AA224" s="2">
        <f t="shared" ref="AA224:AC224" si="3033">_xlfn.RANK.EQ(Z224, Z$7:Z$375,0)</f>
        <v>187</v>
      </c>
      <c r="AB224" s="2">
        <v>100</v>
      </c>
      <c r="AC224" s="2">
        <f t="shared" si="3033"/>
        <v>170</v>
      </c>
      <c r="AD224" s="4">
        <v>0.26</v>
      </c>
      <c r="AE224" s="2">
        <f t="shared" ref="AE224:AG224" si="3034">_xlfn.RANK.EQ(AD224, AD$7:AD$375,0)</f>
        <v>265</v>
      </c>
      <c r="AF224" s="2">
        <v>8</v>
      </c>
      <c r="AG224" s="2">
        <f t="shared" si="3034"/>
        <v>280</v>
      </c>
      <c r="AH224" s="2">
        <v>10</v>
      </c>
      <c r="AI224" s="2">
        <f t="shared" ref="AI224:AK224" si="3035">_xlfn.RANK.EQ(AH224, AH$7:AH$375,0)</f>
        <v>293</v>
      </c>
      <c r="AJ224" s="4">
        <v>0.8</v>
      </c>
      <c r="AK224" s="2">
        <f t="shared" si="3035"/>
        <v>85</v>
      </c>
      <c r="AL224" s="2">
        <v>31</v>
      </c>
      <c r="AM224" s="2">
        <f t="shared" ref="AM224:AO224" si="3036">_xlfn.RANK.EQ(AL224, AL$7:AL$375,0)</f>
        <v>143</v>
      </c>
      <c r="AN224" s="2">
        <v>33</v>
      </c>
      <c r="AO224" s="2">
        <f t="shared" si="3036"/>
        <v>246</v>
      </c>
      <c r="AP224" s="2">
        <v>64</v>
      </c>
      <c r="AQ224" s="2">
        <f t="shared" ref="AQ224:AS224" si="3037">_xlfn.RANK.EQ(AP224, AP$7:AP$375,0)</f>
        <v>217</v>
      </c>
      <c r="AR224" s="2">
        <v>19</v>
      </c>
      <c r="AS224" s="2">
        <f t="shared" si="3037"/>
        <v>280</v>
      </c>
      <c r="AT224" s="2">
        <v>19</v>
      </c>
      <c r="AU224" s="2">
        <f t="shared" ref="AU224:AW224" si="3038">_xlfn.RANK.EQ(AT224, AT$7:AT$375,0)</f>
        <v>259</v>
      </c>
      <c r="AV224" s="2">
        <v>20</v>
      </c>
      <c r="AW224" s="2">
        <f t="shared" si="3038"/>
        <v>207</v>
      </c>
      <c r="AX224" s="2">
        <v>14</v>
      </c>
      <c r="AY224" s="2">
        <f t="shared" ref="AY224:BA224" si="3039">_xlfn.RANK.EQ(AX224, AX$7:AX$375,0)</f>
        <v>82</v>
      </c>
      <c r="AZ224" s="2">
        <v>6</v>
      </c>
      <c r="BA224" s="2">
        <f t="shared" si="3039"/>
        <v>214</v>
      </c>
      <c r="BB224" s="2">
        <v>97</v>
      </c>
      <c r="BC224" s="2">
        <f t="shared" ref="BC224:BE224" si="3040">_xlfn.RANK.EQ(BB224, BB$7:BB$375,0)</f>
        <v>147</v>
      </c>
      <c r="BD224" s="2">
        <v>10</v>
      </c>
      <c r="BE224" s="2">
        <f t="shared" si="3040"/>
        <v>301</v>
      </c>
      <c r="BF224" s="2">
        <v>74</v>
      </c>
      <c r="BG224" s="2">
        <f t="shared" ref="BG224:BI224" si="3041">_xlfn.RANK.EQ(BF224, BF$7:BF$375,0)</f>
        <v>260</v>
      </c>
      <c r="BH224" s="2">
        <v>-140</v>
      </c>
      <c r="BI224" s="2">
        <f t="shared" si="3041"/>
        <v>314</v>
      </c>
    </row>
    <row r="225" spans="1:61" x14ac:dyDescent="0.55000000000000004">
      <c r="A225" s="2">
        <v>218</v>
      </c>
      <c r="B225" s="2" t="s">
        <v>275</v>
      </c>
      <c r="C225" s="2" t="s">
        <v>106</v>
      </c>
      <c r="D225" s="2">
        <v>15</v>
      </c>
      <c r="E225" s="2">
        <f t="shared" si="2691"/>
        <v>338</v>
      </c>
      <c r="F225" s="2">
        <v>4</v>
      </c>
      <c r="G225" s="2">
        <f t="shared" ref="G225:I225" si="3042">_xlfn.RANK.EQ(F225, F$7:F$375,0)</f>
        <v>244</v>
      </c>
      <c r="H225" s="3">
        <v>11.836805555555555</v>
      </c>
      <c r="I225" s="2">
        <f t="shared" si="3042"/>
        <v>289</v>
      </c>
      <c r="J225" s="5">
        <v>0.78888888888888886</v>
      </c>
      <c r="K225" s="2">
        <f t="shared" ref="K225:M225" si="3043">_xlfn.RANK.EQ(J225, J$7:J$375,0)</f>
        <v>166</v>
      </c>
      <c r="L225" s="2">
        <v>166</v>
      </c>
      <c r="M225" s="2">
        <f t="shared" si="3043"/>
        <v>218</v>
      </c>
      <c r="N225" s="2">
        <v>59</v>
      </c>
      <c r="O225" s="2">
        <f t="shared" ref="O225:Q225" si="3044">_xlfn.RANK.EQ(N225, N$7:N$375,0)</f>
        <v>219</v>
      </c>
      <c r="P225" s="2">
        <v>131</v>
      </c>
      <c r="Q225" s="2">
        <f t="shared" si="3044"/>
        <v>241</v>
      </c>
      <c r="R225" s="4">
        <v>0.45</v>
      </c>
      <c r="S225" s="2">
        <f t="shared" ref="S225:U225" si="3045">_xlfn.RANK.EQ(R225, R$7:R$375,0)</f>
        <v>122</v>
      </c>
      <c r="T225" s="2">
        <v>33</v>
      </c>
      <c r="U225" s="2">
        <f t="shared" si="3045"/>
        <v>216</v>
      </c>
      <c r="V225" s="2">
        <v>71</v>
      </c>
      <c r="W225" s="2">
        <f t="shared" ref="W225:Y225" si="3046">_xlfn.RANK.EQ(V225, V$7:V$375,0)</f>
        <v>217</v>
      </c>
      <c r="X225" s="4">
        <v>0.46500000000000002</v>
      </c>
      <c r="Y225" s="2">
        <f t="shared" si="3046"/>
        <v>225</v>
      </c>
      <c r="Z225" s="2">
        <v>26</v>
      </c>
      <c r="AA225" s="2">
        <f t="shared" ref="AA225:AC225" si="3047">_xlfn.RANK.EQ(Z225, Z$7:Z$375,0)</f>
        <v>187</v>
      </c>
      <c r="AB225" s="2">
        <v>60</v>
      </c>
      <c r="AC225" s="2">
        <f t="shared" si="3047"/>
        <v>220</v>
      </c>
      <c r="AD225" s="4">
        <v>0.433</v>
      </c>
      <c r="AE225" s="2">
        <f t="shared" ref="AE225:AG225" si="3048">_xlfn.RANK.EQ(AD225, AD$7:AD$375,0)</f>
        <v>24</v>
      </c>
      <c r="AF225" s="2">
        <v>22</v>
      </c>
      <c r="AG225" s="2">
        <f t="shared" si="3048"/>
        <v>201</v>
      </c>
      <c r="AH225" s="2">
        <v>28</v>
      </c>
      <c r="AI225" s="2">
        <f t="shared" ref="AI225:AK225" si="3049">_xlfn.RANK.EQ(AH225, AH$7:AH$375,0)</f>
        <v>216</v>
      </c>
      <c r="AJ225" s="4">
        <v>0.78600000000000003</v>
      </c>
      <c r="AK225" s="2">
        <f t="shared" si="3049"/>
        <v>106</v>
      </c>
      <c r="AL225" s="2">
        <v>13</v>
      </c>
      <c r="AM225" s="2">
        <f t="shared" ref="AM225:AO225" si="3050">_xlfn.RANK.EQ(AL225, AL$7:AL$375,0)</f>
        <v>256</v>
      </c>
      <c r="AN225" s="2">
        <v>31</v>
      </c>
      <c r="AO225" s="2">
        <f t="shared" si="3050"/>
        <v>259</v>
      </c>
      <c r="AP225" s="2">
        <v>44</v>
      </c>
      <c r="AQ225" s="2">
        <f t="shared" ref="AQ225:AS225" si="3051">_xlfn.RANK.EQ(AP225, AP$7:AP$375,0)</f>
        <v>259</v>
      </c>
      <c r="AR225" s="2">
        <v>31</v>
      </c>
      <c r="AS225" s="2">
        <f t="shared" si="3051"/>
        <v>246</v>
      </c>
      <c r="AT225" s="2">
        <v>24</v>
      </c>
      <c r="AU225" s="2">
        <f t="shared" ref="AU225:AW225" si="3052">_xlfn.RANK.EQ(AT225, AT$7:AT$375,0)</f>
        <v>236</v>
      </c>
      <c r="AV225" s="2">
        <v>13</v>
      </c>
      <c r="AW225" s="2">
        <f t="shared" si="3052"/>
        <v>252</v>
      </c>
      <c r="AX225" s="2">
        <v>2</v>
      </c>
      <c r="AY225" s="2">
        <f t="shared" ref="AY225:BA225" si="3053">_xlfn.RANK.EQ(AX225, AX$7:AX$375,0)</f>
        <v>234</v>
      </c>
      <c r="AZ225" s="2">
        <v>10</v>
      </c>
      <c r="BA225" s="2">
        <f t="shared" si="3053"/>
        <v>144</v>
      </c>
      <c r="BB225" s="2">
        <v>27</v>
      </c>
      <c r="BC225" s="2">
        <f t="shared" ref="BC225:BE225" si="3054">_xlfn.RANK.EQ(BB225, BB$7:BB$375,0)</f>
        <v>305</v>
      </c>
      <c r="BD225" s="2">
        <v>40</v>
      </c>
      <c r="BE225" s="2">
        <f t="shared" si="3054"/>
        <v>201</v>
      </c>
      <c r="BF225" s="2">
        <v>156</v>
      </c>
      <c r="BG225" s="2">
        <f t="shared" ref="BG225:BI225" si="3055">_xlfn.RANK.EQ(BF225, BF$7:BF$375,0)</f>
        <v>202</v>
      </c>
      <c r="BH225" s="2">
        <v>-12</v>
      </c>
      <c r="BI225" s="2">
        <f t="shared" si="3055"/>
        <v>174</v>
      </c>
    </row>
    <row r="226" spans="1:61" x14ac:dyDescent="0.55000000000000004">
      <c r="A226" s="2">
        <v>218</v>
      </c>
      <c r="B226" s="2" t="s">
        <v>276</v>
      </c>
      <c r="C226" s="2" t="s">
        <v>52</v>
      </c>
      <c r="D226" s="2">
        <v>46</v>
      </c>
      <c r="E226" s="2">
        <f t="shared" si="2691"/>
        <v>215</v>
      </c>
      <c r="F226" s="2">
        <v>1</v>
      </c>
      <c r="G226" s="2">
        <f t="shared" ref="G226:I226" si="3056">_xlfn.RANK.EQ(F226, F$7:F$375,0)</f>
        <v>272</v>
      </c>
      <c r="H226" s="3">
        <v>18.339583333333334</v>
      </c>
      <c r="I226" s="2">
        <f t="shared" si="3056"/>
        <v>264</v>
      </c>
      <c r="J226" s="5">
        <v>0.39861111111111114</v>
      </c>
      <c r="K226" s="2">
        <f t="shared" ref="K226:M226" si="3057">_xlfn.RANK.EQ(J226, J$7:J$375,0)</f>
        <v>280</v>
      </c>
      <c r="L226" s="2">
        <v>166</v>
      </c>
      <c r="M226" s="2">
        <f t="shared" si="3057"/>
        <v>218</v>
      </c>
      <c r="N226" s="2">
        <v>58</v>
      </c>
      <c r="O226" s="2">
        <f t="shared" ref="O226:Q226" si="3058">_xlfn.RANK.EQ(N226, N$7:N$375,0)</f>
        <v>220</v>
      </c>
      <c r="P226" s="2">
        <v>182</v>
      </c>
      <c r="Q226" s="2">
        <f t="shared" si="3058"/>
        <v>210</v>
      </c>
      <c r="R226" s="4">
        <v>0.31900000000000001</v>
      </c>
      <c r="S226" s="2">
        <f t="shared" ref="S226:U226" si="3059">_xlfn.RANK.EQ(R226, R$7:R$375,0)</f>
        <v>315</v>
      </c>
      <c r="T226" s="2">
        <v>27</v>
      </c>
      <c r="U226" s="2">
        <f t="shared" si="3059"/>
        <v>237</v>
      </c>
      <c r="V226" s="2">
        <v>66</v>
      </c>
      <c r="W226" s="2">
        <f t="shared" ref="W226:Y226" si="3060">_xlfn.RANK.EQ(V226, V$7:V$375,0)</f>
        <v>221</v>
      </c>
      <c r="X226" s="4">
        <v>0.40899999999999997</v>
      </c>
      <c r="Y226" s="2">
        <f t="shared" si="3060"/>
        <v>286</v>
      </c>
      <c r="Z226" s="2">
        <v>31</v>
      </c>
      <c r="AA226" s="2">
        <f t="shared" ref="AA226:AC226" si="3061">_xlfn.RANK.EQ(Z226, Z$7:Z$375,0)</f>
        <v>173</v>
      </c>
      <c r="AB226" s="2">
        <v>116</v>
      </c>
      <c r="AC226" s="2">
        <f t="shared" si="3061"/>
        <v>153</v>
      </c>
      <c r="AD226" s="4">
        <v>0.26700000000000002</v>
      </c>
      <c r="AE226" s="2">
        <f t="shared" ref="AE226:AG226" si="3062">_xlfn.RANK.EQ(AD226, AD$7:AD$375,0)</f>
        <v>256</v>
      </c>
      <c r="AF226" s="2">
        <v>19</v>
      </c>
      <c r="AG226" s="2">
        <f t="shared" si="3062"/>
        <v>221</v>
      </c>
      <c r="AH226" s="2">
        <v>24</v>
      </c>
      <c r="AI226" s="2">
        <f t="shared" ref="AI226:AK226" si="3063">_xlfn.RANK.EQ(AH226, AH$7:AH$375,0)</f>
        <v>234</v>
      </c>
      <c r="AJ226" s="4">
        <v>0.79200000000000004</v>
      </c>
      <c r="AK226" s="2">
        <f t="shared" si="3063"/>
        <v>96</v>
      </c>
      <c r="AL226" s="2">
        <v>25</v>
      </c>
      <c r="AM226" s="2">
        <f t="shared" ref="AM226:AO226" si="3064">_xlfn.RANK.EQ(AL226, AL$7:AL$375,0)</f>
        <v>173</v>
      </c>
      <c r="AN226" s="2">
        <v>19</v>
      </c>
      <c r="AO226" s="2">
        <f t="shared" si="3064"/>
        <v>290</v>
      </c>
      <c r="AP226" s="2">
        <v>44</v>
      </c>
      <c r="AQ226" s="2">
        <f t="shared" ref="AQ226:AS226" si="3065">_xlfn.RANK.EQ(AP226, AP$7:AP$375,0)</f>
        <v>259</v>
      </c>
      <c r="AR226" s="2">
        <v>24</v>
      </c>
      <c r="AS226" s="2">
        <f t="shared" si="3065"/>
        <v>262</v>
      </c>
      <c r="AT226" s="2">
        <v>12</v>
      </c>
      <c r="AU226" s="2">
        <f t="shared" ref="AU226:AW226" si="3066">_xlfn.RANK.EQ(AT226, AT$7:AT$375,0)</f>
        <v>295</v>
      </c>
      <c r="AV226" s="2">
        <v>16</v>
      </c>
      <c r="AW226" s="2">
        <f t="shared" si="3066"/>
        <v>233</v>
      </c>
      <c r="AX226" s="2">
        <v>4</v>
      </c>
      <c r="AY226" s="2">
        <f t="shared" ref="AY226:BA226" si="3067">_xlfn.RANK.EQ(AX226, AX$7:AX$375,0)</f>
        <v>186</v>
      </c>
      <c r="AZ226" s="2">
        <v>11</v>
      </c>
      <c r="BA226" s="2">
        <f t="shared" si="3067"/>
        <v>132</v>
      </c>
      <c r="BB226" s="2">
        <v>49</v>
      </c>
      <c r="BC226" s="2">
        <f t="shared" ref="BC226:BE226" si="3068">_xlfn.RANK.EQ(BB226, BB$7:BB$375,0)</f>
        <v>266</v>
      </c>
      <c r="BD226" s="2">
        <v>24</v>
      </c>
      <c r="BE226" s="2">
        <f t="shared" si="3068"/>
        <v>256</v>
      </c>
      <c r="BF226" s="2">
        <v>77</v>
      </c>
      <c r="BG226" s="2">
        <f t="shared" ref="BG226:BI226" si="3069">_xlfn.RANK.EQ(BF226, BF$7:BF$375,0)</f>
        <v>254</v>
      </c>
      <c r="BH226" s="2">
        <v>177</v>
      </c>
      <c r="BI226" s="2">
        <f t="shared" si="3069"/>
        <v>52</v>
      </c>
    </row>
    <row r="227" spans="1:61" x14ac:dyDescent="0.55000000000000004">
      <c r="A227" s="2">
        <v>221</v>
      </c>
      <c r="B227" s="2" t="s">
        <v>277</v>
      </c>
      <c r="C227" s="2" t="s">
        <v>89</v>
      </c>
      <c r="D227" s="2">
        <v>60</v>
      </c>
      <c r="E227" s="2">
        <f t="shared" si="2691"/>
        <v>1</v>
      </c>
      <c r="F227" s="2">
        <v>32</v>
      </c>
      <c r="G227" s="2">
        <f t="shared" ref="G227:I227" si="3070">_xlfn.RANK.EQ(F227, F$7:F$375,0)</f>
        <v>113</v>
      </c>
      <c r="H227" s="3">
        <v>35.746527777777779</v>
      </c>
      <c r="I227" s="2">
        <f t="shared" si="3070"/>
        <v>170</v>
      </c>
      <c r="J227" s="5">
        <v>0.59513888888888888</v>
      </c>
      <c r="K227" s="2">
        <f t="shared" ref="K227:M227" si="3071">_xlfn.RANK.EQ(J227, J$7:J$375,0)</f>
        <v>232</v>
      </c>
      <c r="L227" s="2">
        <v>164</v>
      </c>
      <c r="M227" s="2">
        <f t="shared" si="3071"/>
        <v>221</v>
      </c>
      <c r="N227" s="2">
        <v>56</v>
      </c>
      <c r="O227" s="2">
        <f t="shared" ref="O227:Q227" si="3072">_xlfn.RANK.EQ(N227, N$7:N$375,0)</f>
        <v>227</v>
      </c>
      <c r="P227" s="2">
        <v>168</v>
      </c>
      <c r="Q227" s="2">
        <f t="shared" si="3072"/>
        <v>214</v>
      </c>
      <c r="R227" s="4">
        <v>0.33300000000000002</v>
      </c>
      <c r="S227" s="2">
        <f t="shared" ref="S227:U227" si="3073">_xlfn.RANK.EQ(R227, R$7:R$375,0)</f>
        <v>297</v>
      </c>
      <c r="T227" s="2">
        <v>17</v>
      </c>
      <c r="U227" s="2">
        <f t="shared" si="3073"/>
        <v>270</v>
      </c>
      <c r="V227" s="2">
        <v>44</v>
      </c>
      <c r="W227" s="2">
        <f t="shared" ref="W227:Y227" si="3074">_xlfn.RANK.EQ(V227, V$7:V$375,0)</f>
        <v>255</v>
      </c>
      <c r="X227" s="4">
        <v>0.38600000000000001</v>
      </c>
      <c r="Y227" s="2">
        <f t="shared" si="3074"/>
        <v>306</v>
      </c>
      <c r="Z227" s="2">
        <v>39</v>
      </c>
      <c r="AA227" s="2">
        <f t="shared" ref="AA227:AC227" si="3075">_xlfn.RANK.EQ(Z227, Z$7:Z$375,0)</f>
        <v>147</v>
      </c>
      <c r="AB227" s="2">
        <v>124</v>
      </c>
      <c r="AC227" s="2">
        <f t="shared" si="3075"/>
        <v>148</v>
      </c>
      <c r="AD227" s="4">
        <v>0.315</v>
      </c>
      <c r="AE227" s="2">
        <f t="shared" ref="AE227:AG227" si="3076">_xlfn.RANK.EQ(AD227, AD$7:AD$375,0)</f>
        <v>190</v>
      </c>
      <c r="AF227" s="2">
        <v>13</v>
      </c>
      <c r="AG227" s="2">
        <f t="shared" si="3076"/>
        <v>248</v>
      </c>
      <c r="AH227" s="2">
        <v>14</v>
      </c>
      <c r="AI227" s="2">
        <f t="shared" ref="AI227:AK227" si="3077">_xlfn.RANK.EQ(AH227, AH$7:AH$375,0)</f>
        <v>271</v>
      </c>
      <c r="AJ227" s="4">
        <v>0.92900000000000005</v>
      </c>
      <c r="AK227" s="2">
        <f t="shared" si="3077"/>
        <v>13</v>
      </c>
      <c r="AL227" s="2">
        <v>27</v>
      </c>
      <c r="AM227" s="2">
        <f t="shared" ref="AM227:AO227" si="3078">_xlfn.RANK.EQ(AL227, AL$7:AL$375,0)</f>
        <v>162</v>
      </c>
      <c r="AN227" s="2">
        <v>53</v>
      </c>
      <c r="AO227" s="2">
        <f t="shared" si="3078"/>
        <v>191</v>
      </c>
      <c r="AP227" s="2">
        <v>80</v>
      </c>
      <c r="AQ227" s="2">
        <f t="shared" ref="AQ227:AS227" si="3079">_xlfn.RANK.EQ(AP227, AP$7:AP$375,0)</f>
        <v>189</v>
      </c>
      <c r="AR227" s="2">
        <v>82</v>
      </c>
      <c r="AS227" s="2">
        <f t="shared" si="3079"/>
        <v>160</v>
      </c>
      <c r="AT227" s="2">
        <v>21</v>
      </c>
      <c r="AU227" s="2">
        <f t="shared" ref="AU227:AW227" si="3080">_xlfn.RANK.EQ(AT227, AT$7:AT$375,0)</f>
        <v>247</v>
      </c>
      <c r="AV227" s="2">
        <v>26</v>
      </c>
      <c r="AW227" s="2">
        <f t="shared" si="3080"/>
        <v>168</v>
      </c>
      <c r="AX227" s="2">
        <v>4</v>
      </c>
      <c r="AY227" s="2">
        <f t="shared" ref="AY227:BA227" si="3081">_xlfn.RANK.EQ(AX227, AX$7:AX$375,0)</f>
        <v>186</v>
      </c>
      <c r="AZ227" s="2">
        <v>4</v>
      </c>
      <c r="BA227" s="2">
        <f t="shared" si="3081"/>
        <v>246</v>
      </c>
      <c r="BB227" s="2">
        <v>99</v>
      </c>
      <c r="BC227" s="2">
        <f t="shared" ref="BC227:BE227" si="3082">_xlfn.RANK.EQ(BB227, BB$7:BB$375,0)</f>
        <v>143</v>
      </c>
      <c r="BD227" s="2">
        <v>36</v>
      </c>
      <c r="BE227" s="2">
        <f t="shared" si="3082"/>
        <v>216</v>
      </c>
      <c r="BF227" s="2">
        <v>155</v>
      </c>
      <c r="BG227" s="2">
        <f t="shared" ref="BG227:BI227" si="3083">_xlfn.RANK.EQ(BF227, BF$7:BF$375,0)</f>
        <v>203</v>
      </c>
      <c r="BH227" s="2">
        <v>227</v>
      </c>
      <c r="BI227" s="2">
        <f t="shared" si="3083"/>
        <v>42</v>
      </c>
    </row>
    <row r="228" spans="1:61" x14ac:dyDescent="0.55000000000000004">
      <c r="A228" s="2">
        <v>221</v>
      </c>
      <c r="B228" s="2" t="s">
        <v>278</v>
      </c>
      <c r="C228" s="2" t="s">
        <v>74</v>
      </c>
      <c r="D228" s="2">
        <v>25</v>
      </c>
      <c r="E228" s="2">
        <f t="shared" si="2691"/>
        <v>303</v>
      </c>
      <c r="F228" s="2">
        <v>1</v>
      </c>
      <c r="G228" s="2">
        <f t="shared" ref="G228:I228" si="3084">_xlfn.RANK.EQ(F228, F$7:F$375,0)</f>
        <v>272</v>
      </c>
      <c r="H228" s="3">
        <v>14.401388888888889</v>
      </c>
      <c r="I228" s="2">
        <f t="shared" si="3084"/>
        <v>278</v>
      </c>
      <c r="J228" s="5">
        <v>0.5756944444444444</v>
      </c>
      <c r="K228" s="2">
        <f t="shared" ref="K228:M228" si="3085">_xlfn.RANK.EQ(J228, J$7:J$375,0)</f>
        <v>236</v>
      </c>
      <c r="L228" s="2">
        <v>164</v>
      </c>
      <c r="M228" s="2">
        <f t="shared" si="3085"/>
        <v>221</v>
      </c>
      <c r="N228" s="2">
        <v>56</v>
      </c>
      <c r="O228" s="2">
        <f t="shared" ref="O228:Q228" si="3086">_xlfn.RANK.EQ(N228, N$7:N$375,0)</f>
        <v>227</v>
      </c>
      <c r="P228" s="2">
        <v>165</v>
      </c>
      <c r="Q228" s="2">
        <f t="shared" si="3086"/>
        <v>215</v>
      </c>
      <c r="R228" s="4">
        <v>0.33900000000000002</v>
      </c>
      <c r="S228" s="2">
        <f t="shared" ref="S228:U228" si="3087">_xlfn.RANK.EQ(R228, R$7:R$375,0)</f>
        <v>295</v>
      </c>
      <c r="T228" s="2">
        <v>22</v>
      </c>
      <c r="U228" s="2">
        <f t="shared" si="3087"/>
        <v>251</v>
      </c>
      <c r="V228" s="2">
        <v>61</v>
      </c>
      <c r="W228" s="2">
        <f t="shared" ref="W228:Y228" si="3088">_xlfn.RANK.EQ(V228, V$7:V$375,0)</f>
        <v>233</v>
      </c>
      <c r="X228" s="4">
        <v>0.36099999999999999</v>
      </c>
      <c r="Y228" s="2">
        <f t="shared" si="3088"/>
        <v>320</v>
      </c>
      <c r="Z228" s="2">
        <v>34</v>
      </c>
      <c r="AA228" s="2">
        <f t="shared" ref="AA228:AC228" si="3089">_xlfn.RANK.EQ(Z228, Z$7:Z$375,0)</f>
        <v>159</v>
      </c>
      <c r="AB228" s="2">
        <v>104</v>
      </c>
      <c r="AC228" s="2">
        <f t="shared" si="3089"/>
        <v>163</v>
      </c>
      <c r="AD228" s="4">
        <v>0.32700000000000001</v>
      </c>
      <c r="AE228" s="2">
        <f t="shared" ref="AE228:AG228" si="3090">_xlfn.RANK.EQ(AD228, AD$7:AD$375,0)</f>
        <v>170</v>
      </c>
      <c r="AF228" s="2">
        <v>18</v>
      </c>
      <c r="AG228" s="2">
        <f t="shared" si="3090"/>
        <v>224</v>
      </c>
      <c r="AH228" s="2">
        <v>20</v>
      </c>
      <c r="AI228" s="2">
        <f t="shared" ref="AI228:AK228" si="3091">_xlfn.RANK.EQ(AH228, AH$7:AH$375,0)</f>
        <v>244</v>
      </c>
      <c r="AJ228" s="4">
        <v>0.9</v>
      </c>
      <c r="AK228" s="2">
        <f t="shared" si="3091"/>
        <v>19</v>
      </c>
      <c r="AL228" s="2">
        <v>7</v>
      </c>
      <c r="AM228" s="2">
        <f t="shared" ref="AM228:AO228" si="3092">_xlfn.RANK.EQ(AL228, AL$7:AL$375,0)</f>
        <v>292</v>
      </c>
      <c r="AN228" s="2">
        <v>20</v>
      </c>
      <c r="AO228" s="2">
        <f t="shared" si="3092"/>
        <v>286</v>
      </c>
      <c r="AP228" s="2">
        <v>27</v>
      </c>
      <c r="AQ228" s="2">
        <f t="shared" ref="AQ228:AS228" si="3093">_xlfn.RANK.EQ(AP228, AP$7:AP$375,0)</f>
        <v>291</v>
      </c>
      <c r="AR228" s="2">
        <v>14</v>
      </c>
      <c r="AS228" s="2">
        <f t="shared" si="3093"/>
        <v>294</v>
      </c>
      <c r="AT228" s="2">
        <v>24</v>
      </c>
      <c r="AU228" s="2">
        <f t="shared" ref="AU228:AW228" si="3094">_xlfn.RANK.EQ(AT228, AT$7:AT$375,0)</f>
        <v>236</v>
      </c>
      <c r="AV228" s="2">
        <v>6</v>
      </c>
      <c r="AW228" s="2">
        <f t="shared" si="3094"/>
        <v>293</v>
      </c>
      <c r="AX228" s="2">
        <v>2</v>
      </c>
      <c r="AY228" s="2">
        <f t="shared" ref="AY228:BA228" si="3095">_xlfn.RANK.EQ(AX228, AX$7:AX$375,0)</f>
        <v>234</v>
      </c>
      <c r="AZ228" s="2">
        <v>8</v>
      </c>
      <c r="BA228" s="2">
        <f t="shared" si="3095"/>
        <v>181</v>
      </c>
      <c r="BB228" s="2">
        <v>29</v>
      </c>
      <c r="BC228" s="2">
        <f t="shared" ref="BC228:BE228" si="3096">_xlfn.RANK.EQ(BB228, BB$7:BB$375,0)</f>
        <v>302</v>
      </c>
      <c r="BD228" s="2">
        <v>21</v>
      </c>
      <c r="BE228" s="2">
        <f t="shared" si="3096"/>
        <v>262</v>
      </c>
      <c r="BF228" s="2">
        <v>62</v>
      </c>
      <c r="BG228" s="2">
        <f t="shared" ref="BG228:BI228" si="3097">_xlfn.RANK.EQ(BF228, BF$7:BF$375,0)</f>
        <v>269</v>
      </c>
      <c r="BH228" s="2">
        <v>-107</v>
      </c>
      <c r="BI228" s="2">
        <f t="shared" si="3097"/>
        <v>286</v>
      </c>
    </row>
    <row r="229" spans="1:61" x14ac:dyDescent="0.55000000000000004">
      <c r="A229" s="2">
        <v>223</v>
      </c>
      <c r="B229" s="2" t="s">
        <v>279</v>
      </c>
      <c r="C229" s="2" t="s">
        <v>113</v>
      </c>
      <c r="D229" s="2">
        <v>41</v>
      </c>
      <c r="E229" s="2">
        <f t="shared" si="2691"/>
        <v>242</v>
      </c>
      <c r="F229" s="2">
        <v>26</v>
      </c>
      <c r="G229" s="2">
        <f t="shared" ref="G229:I229" si="3098">_xlfn.RANK.EQ(F229, F$7:F$375,0)</f>
        <v>130</v>
      </c>
      <c r="H229" s="3">
        <v>31.977777777777778</v>
      </c>
      <c r="I229" s="2">
        <f t="shared" si="3098"/>
        <v>194</v>
      </c>
      <c r="J229" s="5">
        <v>0.77986111111111112</v>
      </c>
      <c r="K229" s="2">
        <f t="shared" ref="K229:M229" si="3099">_xlfn.RANK.EQ(J229, J$7:J$375,0)</f>
        <v>170</v>
      </c>
      <c r="L229" s="2">
        <v>163</v>
      </c>
      <c r="M229" s="2">
        <f t="shared" si="3099"/>
        <v>223</v>
      </c>
      <c r="N229" s="2">
        <v>55</v>
      </c>
      <c r="O229" s="2">
        <f t="shared" ref="O229:Q229" si="3100">_xlfn.RANK.EQ(N229, N$7:N$375,0)</f>
        <v>232</v>
      </c>
      <c r="P229" s="2">
        <v>184</v>
      </c>
      <c r="Q229" s="2">
        <f t="shared" si="3100"/>
        <v>208</v>
      </c>
      <c r="R229" s="4">
        <v>0.29899999999999999</v>
      </c>
      <c r="S229" s="2">
        <f t="shared" ref="S229:U229" si="3101">_xlfn.RANK.EQ(R229, R$7:R$375,0)</f>
        <v>332</v>
      </c>
      <c r="T229" s="2">
        <v>22</v>
      </c>
      <c r="U229" s="2">
        <f t="shared" si="3101"/>
        <v>251</v>
      </c>
      <c r="V229" s="2">
        <v>62</v>
      </c>
      <c r="W229" s="2">
        <f t="shared" ref="W229:Y229" si="3102">_xlfn.RANK.EQ(V229, V$7:V$375,0)</f>
        <v>229</v>
      </c>
      <c r="X229" s="4">
        <v>0.35499999999999998</v>
      </c>
      <c r="Y229" s="2">
        <f t="shared" si="3102"/>
        <v>323</v>
      </c>
      <c r="Z229" s="2">
        <v>33</v>
      </c>
      <c r="AA229" s="2">
        <f t="shared" ref="AA229:AC229" si="3103">_xlfn.RANK.EQ(Z229, Z$7:Z$375,0)</f>
        <v>166</v>
      </c>
      <c r="AB229" s="2">
        <v>122</v>
      </c>
      <c r="AC229" s="2">
        <f t="shared" si="3103"/>
        <v>150</v>
      </c>
      <c r="AD229" s="4">
        <v>0.27</v>
      </c>
      <c r="AE229" s="2">
        <f t="shared" ref="AE229:AG229" si="3104">_xlfn.RANK.EQ(AD229, AD$7:AD$375,0)</f>
        <v>251</v>
      </c>
      <c r="AF229" s="2">
        <v>20</v>
      </c>
      <c r="AG229" s="2">
        <f t="shared" si="3104"/>
        <v>212</v>
      </c>
      <c r="AH229" s="2">
        <v>30</v>
      </c>
      <c r="AI229" s="2">
        <f t="shared" ref="AI229:AK229" si="3105">_xlfn.RANK.EQ(AH229, AH$7:AH$375,0)</f>
        <v>209</v>
      </c>
      <c r="AJ229" s="4">
        <v>0.66700000000000004</v>
      </c>
      <c r="AK229" s="2">
        <f t="shared" si="3105"/>
        <v>227</v>
      </c>
      <c r="AL229" s="2">
        <v>12</v>
      </c>
      <c r="AM229" s="2">
        <f t="shared" ref="AM229:AO229" si="3106">_xlfn.RANK.EQ(AL229, AL$7:AL$375,0)</f>
        <v>264</v>
      </c>
      <c r="AN229" s="2">
        <v>27</v>
      </c>
      <c r="AO229" s="2">
        <f t="shared" si="3106"/>
        <v>269</v>
      </c>
      <c r="AP229" s="2">
        <v>39</v>
      </c>
      <c r="AQ229" s="2">
        <f t="shared" ref="AQ229:AS229" si="3107">_xlfn.RANK.EQ(AP229, AP$7:AP$375,0)</f>
        <v>270</v>
      </c>
      <c r="AR229" s="2">
        <v>90</v>
      </c>
      <c r="AS229" s="2">
        <f t="shared" si="3107"/>
        <v>144</v>
      </c>
      <c r="AT229" s="2">
        <v>42</v>
      </c>
      <c r="AU229" s="2">
        <f t="shared" ref="AU229:AW229" si="3108">_xlfn.RANK.EQ(AT229, AT$7:AT$375,0)</f>
        <v>166</v>
      </c>
      <c r="AV229" s="2">
        <v>52</v>
      </c>
      <c r="AW229" s="2">
        <f t="shared" si="3108"/>
        <v>51</v>
      </c>
      <c r="AX229" s="2">
        <v>5</v>
      </c>
      <c r="AY229" s="2">
        <f t="shared" ref="AY229:BA229" si="3109">_xlfn.RANK.EQ(AX229, AX$7:AX$375,0)</f>
        <v>169</v>
      </c>
      <c r="AZ229" s="2">
        <v>4</v>
      </c>
      <c r="BA229" s="2">
        <f t="shared" si="3109"/>
        <v>246</v>
      </c>
      <c r="BB229" s="2">
        <v>89</v>
      </c>
      <c r="BC229" s="2">
        <f t="shared" ref="BC229:BE229" si="3110">_xlfn.RANK.EQ(BB229, BB$7:BB$375,0)</f>
        <v>166</v>
      </c>
      <c r="BD229" s="2">
        <v>39</v>
      </c>
      <c r="BE229" s="2">
        <f t="shared" si="3110"/>
        <v>206</v>
      </c>
      <c r="BF229" s="2">
        <v>114</v>
      </c>
      <c r="BG229" s="2">
        <f t="shared" ref="BG229:BI229" si="3111">_xlfn.RANK.EQ(BF229, BF$7:BF$375,0)</f>
        <v>235</v>
      </c>
      <c r="BH229" s="2">
        <v>-192</v>
      </c>
      <c r="BI229" s="2">
        <f t="shared" si="3111"/>
        <v>339</v>
      </c>
    </row>
    <row r="230" spans="1:61" x14ac:dyDescent="0.55000000000000004">
      <c r="A230" s="2">
        <v>224</v>
      </c>
      <c r="B230" s="2" t="s">
        <v>280</v>
      </c>
      <c r="C230" s="2" t="s">
        <v>89</v>
      </c>
      <c r="D230" s="2">
        <v>55</v>
      </c>
      <c r="E230" s="2">
        <f t="shared" si="2691"/>
        <v>139</v>
      </c>
      <c r="F230" s="2">
        <v>3</v>
      </c>
      <c r="G230" s="2">
        <f t="shared" ref="G230:I230" si="3112">_xlfn.RANK.EQ(F230, F$7:F$375,0)</f>
        <v>248</v>
      </c>
      <c r="H230" s="3">
        <v>20.668749999999999</v>
      </c>
      <c r="I230" s="2">
        <f t="shared" si="3112"/>
        <v>249</v>
      </c>
      <c r="J230" s="5">
        <v>0.37569444444444444</v>
      </c>
      <c r="K230" s="2">
        <f t="shared" ref="K230:M230" si="3113">_xlfn.RANK.EQ(J230, J$7:J$375,0)</f>
        <v>287</v>
      </c>
      <c r="L230" s="2">
        <v>161</v>
      </c>
      <c r="M230" s="2">
        <f t="shared" si="3113"/>
        <v>224</v>
      </c>
      <c r="N230" s="2">
        <v>58</v>
      </c>
      <c r="O230" s="2">
        <f t="shared" ref="O230:Q230" si="3114">_xlfn.RANK.EQ(N230, N$7:N$375,0)</f>
        <v>220</v>
      </c>
      <c r="P230" s="2">
        <v>178</v>
      </c>
      <c r="Q230" s="2">
        <f t="shared" si="3114"/>
        <v>212</v>
      </c>
      <c r="R230" s="4">
        <v>0.32600000000000001</v>
      </c>
      <c r="S230" s="2">
        <f t="shared" ref="S230:U230" si="3115">_xlfn.RANK.EQ(R230, R$7:R$375,0)</f>
        <v>309</v>
      </c>
      <c r="T230" s="2">
        <v>24</v>
      </c>
      <c r="U230" s="2">
        <f t="shared" si="3115"/>
        <v>247</v>
      </c>
      <c r="V230" s="2">
        <v>37</v>
      </c>
      <c r="W230" s="2">
        <f t="shared" ref="W230:Y230" si="3116">_xlfn.RANK.EQ(V230, V$7:V$375,0)</f>
        <v>274</v>
      </c>
      <c r="X230" s="4">
        <v>0.64900000000000002</v>
      </c>
      <c r="Y230" s="2">
        <f t="shared" si="3116"/>
        <v>22</v>
      </c>
      <c r="Z230" s="2">
        <v>34</v>
      </c>
      <c r="AA230" s="2">
        <f t="shared" ref="AA230:AC230" si="3117">_xlfn.RANK.EQ(Z230, Z$7:Z$375,0)</f>
        <v>159</v>
      </c>
      <c r="AB230" s="2">
        <v>141</v>
      </c>
      <c r="AC230" s="2">
        <f t="shared" si="3117"/>
        <v>130</v>
      </c>
      <c r="AD230" s="4">
        <v>0.24099999999999999</v>
      </c>
      <c r="AE230" s="2">
        <f t="shared" ref="AE230:AG230" si="3118">_xlfn.RANK.EQ(AD230, AD$7:AD$375,0)</f>
        <v>274</v>
      </c>
      <c r="AF230" s="2">
        <v>11</v>
      </c>
      <c r="AG230" s="2">
        <f t="shared" si="3118"/>
        <v>268</v>
      </c>
      <c r="AH230" s="2">
        <v>14</v>
      </c>
      <c r="AI230" s="2">
        <f t="shared" ref="AI230:AK230" si="3119">_xlfn.RANK.EQ(AH230, AH$7:AH$375,0)</f>
        <v>271</v>
      </c>
      <c r="AJ230" s="4">
        <v>0.78600000000000003</v>
      </c>
      <c r="AK230" s="2">
        <f t="shared" si="3119"/>
        <v>106</v>
      </c>
      <c r="AL230" s="2">
        <v>10</v>
      </c>
      <c r="AM230" s="2">
        <f t="shared" ref="AM230:AO230" si="3120">_xlfn.RANK.EQ(AL230, AL$7:AL$375,0)</f>
        <v>276</v>
      </c>
      <c r="AN230" s="2">
        <v>27</v>
      </c>
      <c r="AO230" s="2">
        <f t="shared" si="3120"/>
        <v>269</v>
      </c>
      <c r="AP230" s="2">
        <v>37</v>
      </c>
      <c r="AQ230" s="2">
        <f t="shared" ref="AQ230:AS230" si="3121">_xlfn.RANK.EQ(AP230, AP$7:AP$375,0)</f>
        <v>276</v>
      </c>
      <c r="AR230" s="2">
        <v>48</v>
      </c>
      <c r="AS230" s="2">
        <f t="shared" si="3121"/>
        <v>223</v>
      </c>
      <c r="AT230" s="2">
        <v>23</v>
      </c>
      <c r="AU230" s="2">
        <f t="shared" ref="AU230:AW230" si="3122">_xlfn.RANK.EQ(AT230, AT$7:AT$375,0)</f>
        <v>241</v>
      </c>
      <c r="AV230" s="2">
        <v>19</v>
      </c>
      <c r="AW230" s="2">
        <f t="shared" si="3122"/>
        <v>216</v>
      </c>
      <c r="AX230" s="2">
        <v>1</v>
      </c>
      <c r="AY230" s="2">
        <f t="shared" ref="AY230:BA230" si="3123">_xlfn.RANK.EQ(AX230, AX$7:AX$375,0)</f>
        <v>265</v>
      </c>
      <c r="AZ230" s="2">
        <v>0</v>
      </c>
      <c r="BA230" s="2">
        <f t="shared" si="3123"/>
        <v>337</v>
      </c>
      <c r="BB230" s="2">
        <v>51</v>
      </c>
      <c r="BC230" s="2">
        <f t="shared" ref="BC230:BE230" si="3124">_xlfn.RANK.EQ(BB230, BB$7:BB$375,0)</f>
        <v>262</v>
      </c>
      <c r="BD230" s="2">
        <v>16</v>
      </c>
      <c r="BE230" s="2">
        <f t="shared" si="3124"/>
        <v>280</v>
      </c>
      <c r="BF230" s="2">
        <v>85</v>
      </c>
      <c r="BG230" s="2">
        <f t="shared" ref="BG230:BI230" si="3125">_xlfn.RANK.EQ(BF230, BF$7:BF$375,0)</f>
        <v>248</v>
      </c>
      <c r="BH230" s="2">
        <v>-16</v>
      </c>
      <c r="BI230" s="2">
        <f t="shared" si="3125"/>
        <v>181</v>
      </c>
    </row>
    <row r="231" spans="1:61" x14ac:dyDescent="0.55000000000000004">
      <c r="A231" s="2">
        <v>225</v>
      </c>
      <c r="B231" s="2" t="s">
        <v>281</v>
      </c>
      <c r="C231" s="2" t="s">
        <v>84</v>
      </c>
      <c r="D231" s="2">
        <v>53</v>
      </c>
      <c r="E231" s="2">
        <f t="shared" si="2691"/>
        <v>166</v>
      </c>
      <c r="F231" s="2">
        <v>10</v>
      </c>
      <c r="G231" s="2">
        <f t="shared" ref="G231:I231" si="3126">_xlfn.RANK.EQ(F231, F$7:F$375,0)</f>
        <v>200</v>
      </c>
      <c r="H231" s="3">
        <v>22.793749999999999</v>
      </c>
      <c r="I231" s="2">
        <f t="shared" si="3126"/>
        <v>237</v>
      </c>
      <c r="J231" s="5">
        <v>0.42986111111111114</v>
      </c>
      <c r="K231" s="2">
        <f t="shared" ref="K231:M231" si="3127">_xlfn.RANK.EQ(J231, J$7:J$375,0)</f>
        <v>269</v>
      </c>
      <c r="L231" s="2">
        <v>159</v>
      </c>
      <c r="M231" s="2">
        <f t="shared" si="3127"/>
        <v>225</v>
      </c>
      <c r="N231" s="2">
        <v>53</v>
      </c>
      <c r="O231" s="2">
        <f t="shared" ref="O231:Q231" si="3128">_xlfn.RANK.EQ(N231, N$7:N$375,0)</f>
        <v>239</v>
      </c>
      <c r="P231" s="2">
        <v>115</v>
      </c>
      <c r="Q231" s="2">
        <f t="shared" si="3128"/>
        <v>254</v>
      </c>
      <c r="R231" s="4">
        <v>0.46100000000000002</v>
      </c>
      <c r="S231" s="2">
        <f t="shared" ref="S231:U231" si="3129">_xlfn.RANK.EQ(R231, R$7:R$375,0)</f>
        <v>105</v>
      </c>
      <c r="T231" s="2">
        <v>20</v>
      </c>
      <c r="U231" s="2">
        <f t="shared" si="3129"/>
        <v>259</v>
      </c>
      <c r="V231" s="2">
        <v>43</v>
      </c>
      <c r="W231" s="2">
        <f t="shared" ref="W231:Y231" si="3130">_xlfn.RANK.EQ(V231, V$7:V$375,0)</f>
        <v>261</v>
      </c>
      <c r="X231" s="4">
        <v>0.46500000000000002</v>
      </c>
      <c r="Y231" s="2">
        <f t="shared" si="3130"/>
        <v>225</v>
      </c>
      <c r="Z231" s="2">
        <v>33</v>
      </c>
      <c r="AA231" s="2">
        <f t="shared" ref="AA231:AC231" si="3131">_xlfn.RANK.EQ(Z231, Z$7:Z$375,0)</f>
        <v>166</v>
      </c>
      <c r="AB231" s="2">
        <v>72</v>
      </c>
      <c r="AC231" s="2">
        <f t="shared" si="3131"/>
        <v>203</v>
      </c>
      <c r="AD231" s="4">
        <v>0.45800000000000002</v>
      </c>
      <c r="AE231" s="2">
        <f t="shared" ref="AE231:AG231" si="3132">_xlfn.RANK.EQ(AD231, AD$7:AD$375,0)</f>
        <v>17</v>
      </c>
      <c r="AF231" s="2">
        <v>20</v>
      </c>
      <c r="AG231" s="2">
        <f t="shared" si="3132"/>
        <v>212</v>
      </c>
      <c r="AH231" s="2">
        <v>25</v>
      </c>
      <c r="AI231" s="2">
        <f t="shared" ref="AI231:AK231" si="3133">_xlfn.RANK.EQ(AH231, AH$7:AH$375,0)</f>
        <v>230</v>
      </c>
      <c r="AJ231" s="4">
        <v>0.8</v>
      </c>
      <c r="AK231" s="2">
        <f t="shared" si="3133"/>
        <v>85</v>
      </c>
      <c r="AL231" s="2">
        <v>8</v>
      </c>
      <c r="AM231" s="2">
        <f t="shared" ref="AM231:AO231" si="3134">_xlfn.RANK.EQ(AL231, AL$7:AL$375,0)</f>
        <v>286</v>
      </c>
      <c r="AN231" s="2">
        <v>40</v>
      </c>
      <c r="AO231" s="2">
        <f t="shared" si="3134"/>
        <v>230</v>
      </c>
      <c r="AP231" s="2">
        <v>48</v>
      </c>
      <c r="AQ231" s="2">
        <f t="shared" ref="AQ231:AS231" si="3135">_xlfn.RANK.EQ(AP231, AP$7:AP$375,0)</f>
        <v>252</v>
      </c>
      <c r="AR231" s="2">
        <v>19</v>
      </c>
      <c r="AS231" s="2">
        <f t="shared" si="3135"/>
        <v>280</v>
      </c>
      <c r="AT231" s="2">
        <v>20</v>
      </c>
      <c r="AU231" s="2">
        <f t="shared" ref="AU231:AW231" si="3136">_xlfn.RANK.EQ(AT231, AT$7:AT$375,0)</f>
        <v>253</v>
      </c>
      <c r="AV231" s="2">
        <v>14</v>
      </c>
      <c r="AW231" s="2">
        <f t="shared" si="3136"/>
        <v>246</v>
      </c>
      <c r="AX231" s="2">
        <v>0</v>
      </c>
      <c r="AY231" s="2">
        <f t="shared" ref="AY231:BA231" si="3137">_xlfn.RANK.EQ(AX231, AX$7:AX$375,0)</f>
        <v>298</v>
      </c>
      <c r="AZ231" s="2">
        <v>2</v>
      </c>
      <c r="BA231" s="2">
        <f t="shared" si="3137"/>
        <v>285</v>
      </c>
      <c r="BB231" s="2">
        <v>69</v>
      </c>
      <c r="BC231" s="2">
        <f t="shared" ref="BC231:BE231" si="3138">_xlfn.RANK.EQ(BB231, BB$7:BB$375,0)</f>
        <v>218</v>
      </c>
      <c r="BD231" s="2">
        <v>21</v>
      </c>
      <c r="BE231" s="2">
        <f t="shared" si="3138"/>
        <v>262</v>
      </c>
      <c r="BF231" s="2">
        <v>103</v>
      </c>
      <c r="BG231" s="2">
        <f t="shared" ref="BG231:BI231" si="3139">_xlfn.RANK.EQ(BF231, BF$7:BF$375,0)</f>
        <v>243</v>
      </c>
      <c r="BH231" s="2">
        <v>-127</v>
      </c>
      <c r="BI231" s="2">
        <f t="shared" si="3139"/>
        <v>303</v>
      </c>
    </row>
    <row r="232" spans="1:61" x14ac:dyDescent="0.55000000000000004">
      <c r="A232" s="2">
        <v>226</v>
      </c>
      <c r="B232" s="2" t="s">
        <v>282</v>
      </c>
      <c r="C232" s="2" t="s">
        <v>40</v>
      </c>
      <c r="D232" s="2">
        <v>26</v>
      </c>
      <c r="E232" s="2">
        <f t="shared" si="2691"/>
        <v>298</v>
      </c>
      <c r="F232" s="2">
        <v>17</v>
      </c>
      <c r="G232" s="2">
        <f t="shared" ref="G232:I232" si="3140">_xlfn.RANK.EQ(F232, F$7:F$375,0)</f>
        <v>166</v>
      </c>
      <c r="H232" s="3">
        <v>20.435416666666665</v>
      </c>
      <c r="I232" s="2">
        <f t="shared" si="3140"/>
        <v>251</v>
      </c>
      <c r="J232" s="5">
        <v>0.78541666666666665</v>
      </c>
      <c r="K232" s="2">
        <f t="shared" ref="K232:M232" si="3141">_xlfn.RANK.EQ(J232, J$7:J$375,0)</f>
        <v>168</v>
      </c>
      <c r="L232" s="2">
        <v>157</v>
      </c>
      <c r="M232" s="2">
        <f t="shared" si="3141"/>
        <v>226</v>
      </c>
      <c r="N232" s="2">
        <v>52</v>
      </c>
      <c r="O232" s="2">
        <f t="shared" ref="O232:Q232" si="3142">_xlfn.RANK.EQ(N232, N$7:N$375,0)</f>
        <v>241</v>
      </c>
      <c r="P232" s="2">
        <v>150</v>
      </c>
      <c r="Q232" s="2">
        <f t="shared" si="3142"/>
        <v>227</v>
      </c>
      <c r="R232" s="4">
        <v>0.34699999999999998</v>
      </c>
      <c r="S232" s="2">
        <f t="shared" ref="S232:U232" si="3143">_xlfn.RANK.EQ(R232, R$7:R$375,0)</f>
        <v>283</v>
      </c>
      <c r="T232" s="2">
        <v>39</v>
      </c>
      <c r="U232" s="2">
        <f t="shared" si="3143"/>
        <v>200</v>
      </c>
      <c r="V232" s="2">
        <v>87</v>
      </c>
      <c r="W232" s="2">
        <f t="shared" ref="W232:Y232" si="3144">_xlfn.RANK.EQ(V232, V$7:V$375,0)</f>
        <v>194</v>
      </c>
      <c r="X232" s="4">
        <v>0.44800000000000001</v>
      </c>
      <c r="Y232" s="2">
        <f t="shared" si="3144"/>
        <v>245</v>
      </c>
      <c r="Z232" s="2">
        <v>13</v>
      </c>
      <c r="AA232" s="2">
        <f t="shared" ref="AA232:AC232" si="3145">_xlfn.RANK.EQ(Z232, Z$7:Z$375,0)</f>
        <v>238</v>
      </c>
      <c r="AB232" s="2">
        <v>63</v>
      </c>
      <c r="AC232" s="2">
        <f t="shared" si="3145"/>
        <v>213</v>
      </c>
      <c r="AD232" s="4">
        <v>0.20599999999999999</v>
      </c>
      <c r="AE232" s="2">
        <f t="shared" ref="AE232:AG232" si="3146">_xlfn.RANK.EQ(AD232, AD$7:AD$375,0)</f>
        <v>301</v>
      </c>
      <c r="AF232" s="2">
        <v>40</v>
      </c>
      <c r="AG232" s="2">
        <f t="shared" si="3146"/>
        <v>143</v>
      </c>
      <c r="AH232" s="2">
        <v>51</v>
      </c>
      <c r="AI232" s="2">
        <f t="shared" ref="AI232:AK232" si="3147">_xlfn.RANK.EQ(AH232, AH$7:AH$375,0)</f>
        <v>154</v>
      </c>
      <c r="AJ232" s="4">
        <v>0.78400000000000003</v>
      </c>
      <c r="AK232" s="2">
        <f t="shared" si="3147"/>
        <v>109</v>
      </c>
      <c r="AL232" s="2">
        <v>17</v>
      </c>
      <c r="AM232" s="2">
        <f t="shared" ref="AM232:AO232" si="3148">_xlfn.RANK.EQ(AL232, AL$7:AL$375,0)</f>
        <v>226</v>
      </c>
      <c r="AN232" s="2">
        <v>36</v>
      </c>
      <c r="AO232" s="2">
        <f t="shared" si="3148"/>
        <v>236</v>
      </c>
      <c r="AP232" s="2">
        <v>53</v>
      </c>
      <c r="AQ232" s="2">
        <f t="shared" ref="AQ232:AS232" si="3149">_xlfn.RANK.EQ(AP232, AP$7:AP$375,0)</f>
        <v>239</v>
      </c>
      <c r="AR232" s="2">
        <v>66</v>
      </c>
      <c r="AS232" s="2">
        <f t="shared" si="3149"/>
        <v>186</v>
      </c>
      <c r="AT232" s="2">
        <v>36</v>
      </c>
      <c r="AU232" s="2">
        <f t="shared" ref="AU232:AW232" si="3150">_xlfn.RANK.EQ(AT232, AT$7:AT$375,0)</f>
        <v>187</v>
      </c>
      <c r="AV232" s="2">
        <v>22</v>
      </c>
      <c r="AW232" s="2">
        <f t="shared" si="3150"/>
        <v>197</v>
      </c>
      <c r="AX232" s="2">
        <v>1</v>
      </c>
      <c r="AY232" s="2">
        <f t="shared" ref="AY232:BA232" si="3151">_xlfn.RANK.EQ(AX232, AX$7:AX$375,0)</f>
        <v>265</v>
      </c>
      <c r="AZ232" s="2">
        <v>8</v>
      </c>
      <c r="BA232" s="2">
        <f t="shared" si="3151"/>
        <v>181</v>
      </c>
      <c r="BB232" s="2">
        <v>69</v>
      </c>
      <c r="BC232" s="2">
        <f t="shared" ref="BC232:BE232" si="3152">_xlfn.RANK.EQ(BB232, BB$7:BB$375,0)</f>
        <v>218</v>
      </c>
      <c r="BD232" s="2">
        <v>44</v>
      </c>
      <c r="BE232" s="2">
        <f t="shared" si="3152"/>
        <v>189</v>
      </c>
      <c r="BF232" s="2">
        <v>121</v>
      </c>
      <c r="BG232" s="2">
        <f t="shared" ref="BG232:BI232" si="3153">_xlfn.RANK.EQ(BF232, BF$7:BF$375,0)</f>
        <v>233</v>
      </c>
      <c r="BH232" s="2">
        <v>48</v>
      </c>
      <c r="BI232" s="2">
        <f t="shared" si="3153"/>
        <v>102</v>
      </c>
    </row>
    <row r="233" spans="1:61" x14ac:dyDescent="0.55000000000000004">
      <c r="A233" s="2">
        <v>227</v>
      </c>
      <c r="B233" s="2" t="s">
        <v>283</v>
      </c>
      <c r="C233" s="2" t="s">
        <v>44</v>
      </c>
      <c r="D233" s="2">
        <v>49</v>
      </c>
      <c r="E233" s="2">
        <f t="shared" si="2691"/>
        <v>194</v>
      </c>
      <c r="F233" s="2">
        <v>21</v>
      </c>
      <c r="G233" s="2">
        <f t="shared" ref="G233:I233" si="3154">_xlfn.RANK.EQ(F233, F$7:F$375,0)</f>
        <v>146</v>
      </c>
      <c r="H233" s="3">
        <v>34.581944444444446</v>
      </c>
      <c r="I233" s="2">
        <f t="shared" si="3154"/>
        <v>174</v>
      </c>
      <c r="J233" s="5">
        <v>0.7055555555555556</v>
      </c>
      <c r="K233" s="2">
        <f t="shared" ref="K233:M233" si="3155">_xlfn.RANK.EQ(J233, J$7:J$375,0)</f>
        <v>192</v>
      </c>
      <c r="L233" s="2">
        <v>156</v>
      </c>
      <c r="M233" s="2">
        <f t="shared" si="3155"/>
        <v>227</v>
      </c>
      <c r="N233" s="2">
        <v>56</v>
      </c>
      <c r="O233" s="2">
        <f t="shared" ref="O233:Q233" si="3156">_xlfn.RANK.EQ(N233, N$7:N$375,0)</f>
        <v>227</v>
      </c>
      <c r="P233" s="2">
        <v>183</v>
      </c>
      <c r="Q233" s="2">
        <f t="shared" si="3156"/>
        <v>209</v>
      </c>
      <c r="R233" s="4">
        <v>0.30599999999999999</v>
      </c>
      <c r="S233" s="2">
        <f t="shared" ref="S233:U233" si="3157">_xlfn.RANK.EQ(R233, R$7:R$375,0)</f>
        <v>327</v>
      </c>
      <c r="T233" s="2">
        <v>38</v>
      </c>
      <c r="U233" s="2">
        <f t="shared" si="3157"/>
        <v>203</v>
      </c>
      <c r="V233" s="2">
        <v>96</v>
      </c>
      <c r="W233" s="2">
        <f t="shared" ref="W233:Y233" si="3158">_xlfn.RANK.EQ(V233, V$7:V$375,0)</f>
        <v>180</v>
      </c>
      <c r="X233" s="4">
        <v>0.39600000000000002</v>
      </c>
      <c r="Y233" s="2">
        <f t="shared" si="3158"/>
        <v>302</v>
      </c>
      <c r="Z233" s="2">
        <v>18</v>
      </c>
      <c r="AA233" s="2">
        <f t="shared" ref="AA233:AC233" si="3159">_xlfn.RANK.EQ(Z233, Z$7:Z$375,0)</f>
        <v>217</v>
      </c>
      <c r="AB233" s="2">
        <v>87</v>
      </c>
      <c r="AC233" s="2">
        <f t="shared" si="3159"/>
        <v>188</v>
      </c>
      <c r="AD233" s="4">
        <v>0.20699999999999999</v>
      </c>
      <c r="AE233" s="2">
        <f t="shared" ref="AE233:AG233" si="3160">_xlfn.RANK.EQ(AD233, AD$7:AD$375,0)</f>
        <v>298</v>
      </c>
      <c r="AF233" s="2">
        <v>26</v>
      </c>
      <c r="AG233" s="2">
        <f t="shared" si="3160"/>
        <v>190</v>
      </c>
      <c r="AH233" s="2">
        <v>35</v>
      </c>
      <c r="AI233" s="2">
        <f t="shared" ref="AI233:AK233" si="3161">_xlfn.RANK.EQ(AH233, AH$7:AH$375,0)</f>
        <v>194</v>
      </c>
      <c r="AJ233" s="4">
        <v>0.74299999999999999</v>
      </c>
      <c r="AK233" s="2">
        <f t="shared" si="3161"/>
        <v>159</v>
      </c>
      <c r="AL233" s="2">
        <v>28</v>
      </c>
      <c r="AM233" s="2">
        <f t="shared" ref="AM233:AO233" si="3162">_xlfn.RANK.EQ(AL233, AL$7:AL$375,0)</f>
        <v>159</v>
      </c>
      <c r="AN233" s="2">
        <v>38</v>
      </c>
      <c r="AO233" s="2">
        <f t="shared" si="3162"/>
        <v>231</v>
      </c>
      <c r="AP233" s="2">
        <v>66</v>
      </c>
      <c r="AQ233" s="2">
        <f t="shared" ref="AQ233:AS233" si="3163">_xlfn.RANK.EQ(AP233, AP$7:AP$375,0)</f>
        <v>214</v>
      </c>
      <c r="AR233" s="2">
        <v>90</v>
      </c>
      <c r="AS233" s="2">
        <f t="shared" si="3163"/>
        <v>144</v>
      </c>
      <c r="AT233" s="2">
        <v>33</v>
      </c>
      <c r="AU233" s="2">
        <f t="shared" ref="AU233:AW233" si="3164">_xlfn.RANK.EQ(AT233, AT$7:AT$375,0)</f>
        <v>200</v>
      </c>
      <c r="AV233" s="2">
        <v>17</v>
      </c>
      <c r="AW233" s="2">
        <f t="shared" si="3164"/>
        <v>227</v>
      </c>
      <c r="AX233" s="2">
        <v>3</v>
      </c>
      <c r="AY233" s="2">
        <f t="shared" ref="AY233:BA233" si="3165">_xlfn.RANK.EQ(AX233, AX$7:AX$375,0)</f>
        <v>208</v>
      </c>
      <c r="AZ233" s="2">
        <v>12</v>
      </c>
      <c r="BA233" s="2">
        <f t="shared" si="3165"/>
        <v>124</v>
      </c>
      <c r="BB233" s="2">
        <v>108</v>
      </c>
      <c r="BC233" s="2">
        <f t="shared" ref="BC233:BE233" si="3166">_xlfn.RANK.EQ(BB233, BB$7:BB$375,0)</f>
        <v>113</v>
      </c>
      <c r="BD233" s="2">
        <v>39</v>
      </c>
      <c r="BE233" s="2">
        <f t="shared" si="3166"/>
        <v>206</v>
      </c>
      <c r="BF233" s="2">
        <v>81</v>
      </c>
      <c r="BG233" s="2">
        <f t="shared" ref="BG233:BI233" si="3167">_xlfn.RANK.EQ(BF233, BF$7:BF$375,0)</f>
        <v>251</v>
      </c>
      <c r="BH233" s="2">
        <v>-132</v>
      </c>
      <c r="BI233" s="2">
        <f t="shared" si="3167"/>
        <v>307</v>
      </c>
    </row>
    <row r="234" spans="1:61" x14ac:dyDescent="0.55000000000000004">
      <c r="A234" s="2">
        <v>228</v>
      </c>
      <c r="B234" s="2" t="s">
        <v>284</v>
      </c>
      <c r="C234" s="2" t="s">
        <v>79</v>
      </c>
      <c r="D234" s="2">
        <v>55</v>
      </c>
      <c r="E234" s="2">
        <f t="shared" si="2691"/>
        <v>139</v>
      </c>
      <c r="F234" s="2">
        <v>13</v>
      </c>
      <c r="G234" s="2">
        <f t="shared" ref="G234:I234" si="3168">_xlfn.RANK.EQ(F234, F$7:F$375,0)</f>
        <v>186</v>
      </c>
      <c r="H234" s="3">
        <v>33.423611111111114</v>
      </c>
      <c r="I234" s="2">
        <f t="shared" si="3168"/>
        <v>184</v>
      </c>
      <c r="J234" s="5">
        <v>0.60763888888888884</v>
      </c>
      <c r="K234" s="2">
        <f t="shared" ref="K234:M234" si="3169">_xlfn.RANK.EQ(J234, J$7:J$375,0)</f>
        <v>228</v>
      </c>
      <c r="L234" s="2">
        <v>155</v>
      </c>
      <c r="M234" s="2">
        <f t="shared" si="3169"/>
        <v>228</v>
      </c>
      <c r="N234" s="2">
        <v>75</v>
      </c>
      <c r="O234" s="2">
        <f t="shared" ref="O234:Q234" si="3170">_xlfn.RANK.EQ(N234, N$7:N$375,0)</f>
        <v>198</v>
      </c>
      <c r="P234" s="2">
        <v>152</v>
      </c>
      <c r="Q234" s="2">
        <f t="shared" si="3170"/>
        <v>225</v>
      </c>
      <c r="R234" s="4">
        <v>0.49299999999999999</v>
      </c>
      <c r="S234" s="2">
        <f t="shared" ref="S234:U234" si="3171">_xlfn.RANK.EQ(R234, R$7:R$375,0)</f>
        <v>73</v>
      </c>
      <c r="T234" s="2">
        <v>75</v>
      </c>
      <c r="U234" s="2">
        <f t="shared" si="3171"/>
        <v>129</v>
      </c>
      <c r="V234" s="2">
        <v>152</v>
      </c>
      <c r="W234" s="2">
        <f t="shared" ref="W234:Y234" si="3172">_xlfn.RANK.EQ(V234, V$7:V$375,0)</f>
        <v>133</v>
      </c>
      <c r="X234" s="4">
        <v>0.49299999999999999</v>
      </c>
      <c r="Y234" s="2">
        <f t="shared" si="3172"/>
        <v>190</v>
      </c>
      <c r="Z234" s="2">
        <v>0</v>
      </c>
      <c r="AA234" s="2">
        <f t="shared" ref="AA234:AC234" si="3173">_xlfn.RANK.EQ(Z234, Z$7:Z$375,0)</f>
        <v>329</v>
      </c>
      <c r="AB234" s="2">
        <v>0</v>
      </c>
      <c r="AC234" s="2">
        <f t="shared" si="3173"/>
        <v>360</v>
      </c>
      <c r="AD234" s="4">
        <v>0</v>
      </c>
      <c r="AE234" s="2">
        <f t="shared" ref="AE234:AG234" si="3174">_xlfn.RANK.EQ(AD234, AD$7:AD$375,0)</f>
        <v>329</v>
      </c>
      <c r="AF234" s="2">
        <v>5</v>
      </c>
      <c r="AG234" s="2">
        <f t="shared" si="3174"/>
        <v>297</v>
      </c>
      <c r="AH234" s="2">
        <v>8</v>
      </c>
      <c r="AI234" s="2">
        <f t="shared" ref="AI234:AK234" si="3175">_xlfn.RANK.EQ(AH234, AH$7:AH$375,0)</f>
        <v>300</v>
      </c>
      <c r="AJ234" s="4">
        <v>0.625</v>
      </c>
      <c r="AK234" s="2">
        <f t="shared" si="3175"/>
        <v>258</v>
      </c>
      <c r="AL234" s="2">
        <v>38</v>
      </c>
      <c r="AM234" s="2">
        <f t="shared" ref="AM234:AO234" si="3176">_xlfn.RANK.EQ(AL234, AL$7:AL$375,0)</f>
        <v>119</v>
      </c>
      <c r="AN234" s="2">
        <v>44</v>
      </c>
      <c r="AO234" s="2">
        <f t="shared" si="3176"/>
        <v>214</v>
      </c>
      <c r="AP234" s="2">
        <v>82</v>
      </c>
      <c r="AQ234" s="2">
        <f t="shared" ref="AQ234:AS234" si="3177">_xlfn.RANK.EQ(AP234, AP$7:AP$375,0)</f>
        <v>183</v>
      </c>
      <c r="AR234" s="2">
        <v>31</v>
      </c>
      <c r="AS234" s="2">
        <f t="shared" si="3177"/>
        <v>246</v>
      </c>
      <c r="AT234" s="2">
        <v>36</v>
      </c>
      <c r="AU234" s="2">
        <f t="shared" ref="AU234:AW234" si="3178">_xlfn.RANK.EQ(AT234, AT$7:AT$375,0)</f>
        <v>187</v>
      </c>
      <c r="AV234" s="2">
        <v>12</v>
      </c>
      <c r="AW234" s="2">
        <f t="shared" si="3178"/>
        <v>260</v>
      </c>
      <c r="AX234" s="2">
        <v>10</v>
      </c>
      <c r="AY234" s="2">
        <f t="shared" ref="AY234:BA234" si="3179">_xlfn.RANK.EQ(AX234, AX$7:AX$375,0)</f>
        <v>103</v>
      </c>
      <c r="AZ234" s="2">
        <v>13</v>
      </c>
      <c r="BA234" s="2">
        <f t="shared" si="3179"/>
        <v>114</v>
      </c>
      <c r="BB234" s="2">
        <v>104</v>
      </c>
      <c r="BC234" s="2">
        <f t="shared" ref="BC234:BE234" si="3180">_xlfn.RANK.EQ(BB234, BB$7:BB$375,0)</f>
        <v>128</v>
      </c>
      <c r="BD234" s="2">
        <v>14</v>
      </c>
      <c r="BE234" s="2">
        <f t="shared" si="3180"/>
        <v>288</v>
      </c>
      <c r="BF234" s="2">
        <v>71</v>
      </c>
      <c r="BG234" s="2">
        <f t="shared" ref="BG234:BI234" si="3181">_xlfn.RANK.EQ(BF234, BF$7:BF$375,0)</f>
        <v>263</v>
      </c>
      <c r="BH234" s="2">
        <v>-364</v>
      </c>
      <c r="BI234" s="2">
        <f t="shared" si="3181"/>
        <v>364</v>
      </c>
    </row>
    <row r="235" spans="1:61" x14ac:dyDescent="0.55000000000000004">
      <c r="A235" s="2">
        <v>228</v>
      </c>
      <c r="B235" s="2" t="s">
        <v>285</v>
      </c>
      <c r="C235" s="2" t="s">
        <v>42</v>
      </c>
      <c r="D235" s="2">
        <v>58</v>
      </c>
      <c r="E235" s="2">
        <f t="shared" si="2691"/>
        <v>78</v>
      </c>
      <c r="F235" s="2">
        <v>0</v>
      </c>
      <c r="G235" s="2">
        <f t="shared" ref="G235:I235" si="3182">_xlfn.RANK.EQ(F235, F$7:F$375,0)</f>
        <v>291</v>
      </c>
      <c r="H235" s="3">
        <v>25.40763888888889</v>
      </c>
      <c r="I235" s="2">
        <f t="shared" si="3182"/>
        <v>226</v>
      </c>
      <c r="J235" s="5">
        <v>0.4375</v>
      </c>
      <c r="K235" s="2">
        <f t="shared" ref="K235:M235" si="3183">_xlfn.RANK.EQ(J235, J$7:J$375,0)</f>
        <v>266</v>
      </c>
      <c r="L235" s="2">
        <v>155</v>
      </c>
      <c r="M235" s="2">
        <f t="shared" si="3183"/>
        <v>228</v>
      </c>
      <c r="N235" s="2">
        <v>56</v>
      </c>
      <c r="O235" s="2">
        <f t="shared" ref="O235:Q235" si="3184">_xlfn.RANK.EQ(N235, N$7:N$375,0)</f>
        <v>227</v>
      </c>
      <c r="P235" s="2">
        <v>151</v>
      </c>
      <c r="Q235" s="2">
        <f t="shared" si="3184"/>
        <v>226</v>
      </c>
      <c r="R235" s="4">
        <v>0.371</v>
      </c>
      <c r="S235" s="2">
        <f t="shared" ref="S235:U235" si="3185">_xlfn.RANK.EQ(R235, R$7:R$375,0)</f>
        <v>242</v>
      </c>
      <c r="T235" s="2">
        <v>30</v>
      </c>
      <c r="U235" s="2">
        <f t="shared" si="3185"/>
        <v>228</v>
      </c>
      <c r="V235" s="2">
        <v>61</v>
      </c>
      <c r="W235" s="2">
        <f t="shared" ref="W235:Y235" si="3186">_xlfn.RANK.EQ(V235, V$7:V$375,0)</f>
        <v>233</v>
      </c>
      <c r="X235" s="4">
        <v>0.49199999999999999</v>
      </c>
      <c r="Y235" s="2">
        <f t="shared" si="3186"/>
        <v>192</v>
      </c>
      <c r="Z235" s="2">
        <v>26</v>
      </c>
      <c r="AA235" s="2">
        <f t="shared" ref="AA235:AC235" si="3187">_xlfn.RANK.EQ(Z235, Z$7:Z$375,0)</f>
        <v>187</v>
      </c>
      <c r="AB235" s="2">
        <v>90</v>
      </c>
      <c r="AC235" s="2">
        <f t="shared" si="3187"/>
        <v>181</v>
      </c>
      <c r="AD235" s="4">
        <v>0.28899999999999998</v>
      </c>
      <c r="AE235" s="2">
        <f t="shared" ref="AE235:AG235" si="3188">_xlfn.RANK.EQ(AD235, AD$7:AD$375,0)</f>
        <v>232</v>
      </c>
      <c r="AF235" s="2">
        <v>17</v>
      </c>
      <c r="AG235" s="2">
        <f t="shared" si="3188"/>
        <v>229</v>
      </c>
      <c r="AH235" s="2">
        <v>30</v>
      </c>
      <c r="AI235" s="2">
        <f t="shared" ref="AI235:AK235" si="3189">_xlfn.RANK.EQ(AH235, AH$7:AH$375,0)</f>
        <v>209</v>
      </c>
      <c r="AJ235" s="4">
        <v>0.56699999999999995</v>
      </c>
      <c r="AK235" s="2">
        <f t="shared" si="3189"/>
        <v>289</v>
      </c>
      <c r="AL235" s="2">
        <v>19</v>
      </c>
      <c r="AM235" s="2">
        <f t="shared" ref="AM235:AO235" si="3190">_xlfn.RANK.EQ(AL235, AL$7:AL$375,0)</f>
        <v>205</v>
      </c>
      <c r="AN235" s="2">
        <v>55</v>
      </c>
      <c r="AO235" s="2">
        <f t="shared" si="3190"/>
        <v>189</v>
      </c>
      <c r="AP235" s="2">
        <v>74</v>
      </c>
      <c r="AQ235" s="2">
        <f t="shared" ref="AQ235:AS235" si="3191">_xlfn.RANK.EQ(AP235, AP$7:AP$375,0)</f>
        <v>200</v>
      </c>
      <c r="AR235" s="2">
        <v>102</v>
      </c>
      <c r="AS235" s="2">
        <f t="shared" si="3191"/>
        <v>126</v>
      </c>
      <c r="AT235" s="2">
        <v>46</v>
      </c>
      <c r="AU235" s="2">
        <f t="shared" ref="AU235:AW235" si="3192">_xlfn.RANK.EQ(AT235, AT$7:AT$375,0)</f>
        <v>154</v>
      </c>
      <c r="AV235" s="2">
        <v>19</v>
      </c>
      <c r="AW235" s="2">
        <f t="shared" si="3192"/>
        <v>216</v>
      </c>
      <c r="AX235" s="2">
        <v>9</v>
      </c>
      <c r="AY235" s="2">
        <f t="shared" ref="AY235:BA235" si="3193">_xlfn.RANK.EQ(AX235, AX$7:AX$375,0)</f>
        <v>110</v>
      </c>
      <c r="AZ235" s="2">
        <v>7</v>
      </c>
      <c r="BA235" s="2">
        <f t="shared" si="3193"/>
        <v>195</v>
      </c>
      <c r="BB235" s="2">
        <v>67</v>
      </c>
      <c r="BC235" s="2">
        <f t="shared" ref="BC235:BE235" si="3194">_xlfn.RANK.EQ(BB235, BB$7:BB$375,0)</f>
        <v>224</v>
      </c>
      <c r="BD235" s="2">
        <v>44</v>
      </c>
      <c r="BE235" s="2">
        <f t="shared" si="3194"/>
        <v>189</v>
      </c>
      <c r="BF235" s="2">
        <v>175</v>
      </c>
      <c r="BG235" s="2">
        <f t="shared" ref="BG235:BI235" si="3195">_xlfn.RANK.EQ(BF235, BF$7:BF$375,0)</f>
        <v>198</v>
      </c>
      <c r="BH235" s="2">
        <v>100</v>
      </c>
      <c r="BI235" s="2">
        <f t="shared" si="3195"/>
        <v>84</v>
      </c>
    </row>
    <row r="236" spans="1:61" x14ac:dyDescent="0.55000000000000004">
      <c r="A236" s="2">
        <v>228</v>
      </c>
      <c r="B236" s="2" t="s">
        <v>286</v>
      </c>
      <c r="C236" s="2" t="s">
        <v>86</v>
      </c>
      <c r="D236" s="2">
        <v>23</v>
      </c>
      <c r="E236" s="2">
        <f t="shared" si="2691"/>
        <v>309</v>
      </c>
      <c r="F236" s="2">
        <v>17</v>
      </c>
      <c r="G236" s="2">
        <f t="shared" ref="G236:I236" si="3196">_xlfn.RANK.EQ(F236, F$7:F$375,0)</f>
        <v>166</v>
      </c>
      <c r="H236" s="3">
        <v>19.104166666666668</v>
      </c>
      <c r="I236" s="2">
        <f t="shared" si="3196"/>
        <v>262</v>
      </c>
      <c r="J236" s="5">
        <v>0.8305555555555556</v>
      </c>
      <c r="K236" s="2">
        <f t="shared" ref="K236:M236" si="3197">_xlfn.RANK.EQ(J236, J$7:J$375,0)</f>
        <v>154</v>
      </c>
      <c r="L236" s="2">
        <v>155</v>
      </c>
      <c r="M236" s="2">
        <f t="shared" si="3197"/>
        <v>228</v>
      </c>
      <c r="N236" s="2">
        <v>52</v>
      </c>
      <c r="O236" s="2">
        <f t="shared" ref="O236:Q236" si="3198">_xlfn.RANK.EQ(N236, N$7:N$375,0)</f>
        <v>241</v>
      </c>
      <c r="P236" s="2">
        <v>126</v>
      </c>
      <c r="Q236" s="2">
        <f t="shared" si="3198"/>
        <v>243</v>
      </c>
      <c r="R236" s="4">
        <v>0.41299999999999998</v>
      </c>
      <c r="S236" s="2">
        <f t="shared" ref="S236:U236" si="3199">_xlfn.RANK.EQ(R236, R$7:R$375,0)</f>
        <v>177</v>
      </c>
      <c r="T236" s="2">
        <v>14</v>
      </c>
      <c r="U236" s="2">
        <f t="shared" si="3199"/>
        <v>278</v>
      </c>
      <c r="V236" s="2">
        <v>24</v>
      </c>
      <c r="W236" s="2">
        <f t="shared" ref="W236:Y236" si="3200">_xlfn.RANK.EQ(V236, V$7:V$375,0)</f>
        <v>292</v>
      </c>
      <c r="X236" s="4">
        <v>0.58299999999999996</v>
      </c>
      <c r="Y236" s="2">
        <f t="shared" si="3200"/>
        <v>73</v>
      </c>
      <c r="Z236" s="2">
        <v>38</v>
      </c>
      <c r="AA236" s="2">
        <f t="shared" ref="AA236:AC236" si="3201">_xlfn.RANK.EQ(Z236, Z$7:Z$375,0)</f>
        <v>149</v>
      </c>
      <c r="AB236" s="2">
        <v>102</v>
      </c>
      <c r="AC236" s="2">
        <f t="shared" si="3201"/>
        <v>165</v>
      </c>
      <c r="AD236" s="4">
        <v>0.373</v>
      </c>
      <c r="AE236" s="2">
        <f t="shared" ref="AE236:AG236" si="3202">_xlfn.RANK.EQ(AD236, AD$7:AD$375,0)</f>
        <v>76</v>
      </c>
      <c r="AF236" s="2">
        <v>13</v>
      </c>
      <c r="AG236" s="2">
        <f t="shared" si="3202"/>
        <v>248</v>
      </c>
      <c r="AH236" s="2">
        <v>13</v>
      </c>
      <c r="AI236" s="2">
        <f t="shared" ref="AI236:AK236" si="3203">_xlfn.RANK.EQ(AH236, AH$7:AH$375,0)</f>
        <v>281</v>
      </c>
      <c r="AJ236" s="4">
        <v>1</v>
      </c>
      <c r="AK236" s="2">
        <f t="shared" si="3203"/>
        <v>1</v>
      </c>
      <c r="AL236" s="2">
        <v>12</v>
      </c>
      <c r="AM236" s="2">
        <f t="shared" ref="AM236:AO236" si="3204">_xlfn.RANK.EQ(AL236, AL$7:AL$375,0)</f>
        <v>264</v>
      </c>
      <c r="AN236" s="2">
        <v>27</v>
      </c>
      <c r="AO236" s="2">
        <f t="shared" si="3204"/>
        <v>269</v>
      </c>
      <c r="AP236" s="2">
        <v>39</v>
      </c>
      <c r="AQ236" s="2">
        <f t="shared" ref="AQ236:AS236" si="3205">_xlfn.RANK.EQ(AP236, AP$7:AP$375,0)</f>
        <v>270</v>
      </c>
      <c r="AR236" s="2">
        <v>99</v>
      </c>
      <c r="AS236" s="2">
        <f t="shared" si="3205"/>
        <v>130</v>
      </c>
      <c r="AT236" s="2">
        <v>26</v>
      </c>
      <c r="AU236" s="2">
        <f t="shared" ref="AU236:AW236" si="3206">_xlfn.RANK.EQ(AT236, AT$7:AT$375,0)</f>
        <v>225</v>
      </c>
      <c r="AV236" s="2">
        <v>28</v>
      </c>
      <c r="AW236" s="2">
        <f t="shared" si="3206"/>
        <v>156</v>
      </c>
      <c r="AX236" s="2">
        <v>0</v>
      </c>
      <c r="AY236" s="2">
        <f t="shared" ref="AY236:BA236" si="3207">_xlfn.RANK.EQ(AX236, AX$7:AX$375,0)</f>
        <v>298</v>
      </c>
      <c r="AZ236" s="2">
        <v>1</v>
      </c>
      <c r="BA236" s="2">
        <f t="shared" si="3207"/>
        <v>308</v>
      </c>
      <c r="BB236" s="2">
        <v>45</v>
      </c>
      <c r="BC236" s="2">
        <f t="shared" ref="BC236:BE236" si="3208">_xlfn.RANK.EQ(BB236, BB$7:BB$375,0)</f>
        <v>276</v>
      </c>
      <c r="BD236" s="2">
        <v>29</v>
      </c>
      <c r="BE236" s="2">
        <f t="shared" si="3208"/>
        <v>235</v>
      </c>
      <c r="BF236" s="2">
        <v>204</v>
      </c>
      <c r="BG236" s="2">
        <f t="shared" ref="BG236:BI236" si="3209">_xlfn.RANK.EQ(BF236, BF$7:BF$375,0)</f>
        <v>184</v>
      </c>
      <c r="BH236" s="2">
        <v>-10</v>
      </c>
      <c r="BI236" s="2">
        <f t="shared" si="3209"/>
        <v>170</v>
      </c>
    </row>
    <row r="237" spans="1:61" x14ac:dyDescent="0.55000000000000004">
      <c r="A237" s="2">
        <v>231</v>
      </c>
      <c r="B237" s="2" t="s">
        <v>287</v>
      </c>
      <c r="C237" s="2" t="s">
        <v>40</v>
      </c>
      <c r="D237" s="2">
        <v>25</v>
      </c>
      <c r="E237" s="2">
        <f t="shared" si="2691"/>
        <v>303</v>
      </c>
      <c r="F237" s="2">
        <v>7</v>
      </c>
      <c r="G237" s="2">
        <f t="shared" ref="G237:I237" si="3210">_xlfn.RANK.EQ(F237, F$7:F$375,0)</f>
        <v>218</v>
      </c>
      <c r="H237" s="3">
        <v>20.329166666666666</v>
      </c>
      <c r="I237" s="2">
        <f t="shared" si="3210"/>
        <v>254</v>
      </c>
      <c r="J237" s="5">
        <v>0.8125</v>
      </c>
      <c r="K237" s="2">
        <f t="shared" ref="K237:M237" si="3211">_xlfn.RANK.EQ(J237, J$7:J$375,0)</f>
        <v>159</v>
      </c>
      <c r="L237" s="2">
        <v>153</v>
      </c>
      <c r="M237" s="2">
        <f t="shared" si="3211"/>
        <v>231</v>
      </c>
      <c r="N237" s="2">
        <v>54</v>
      </c>
      <c r="O237" s="2">
        <f t="shared" ref="O237:Q237" si="3212">_xlfn.RANK.EQ(N237, N$7:N$375,0)</f>
        <v>236</v>
      </c>
      <c r="P237" s="2">
        <v>134</v>
      </c>
      <c r="Q237" s="2">
        <f t="shared" si="3212"/>
        <v>237</v>
      </c>
      <c r="R237" s="4">
        <v>0.40300000000000002</v>
      </c>
      <c r="S237" s="2">
        <f t="shared" ref="S237:U237" si="3213">_xlfn.RANK.EQ(R237, R$7:R$375,0)</f>
        <v>194</v>
      </c>
      <c r="T237" s="2">
        <v>25</v>
      </c>
      <c r="U237" s="2">
        <f t="shared" si="3213"/>
        <v>245</v>
      </c>
      <c r="V237" s="2">
        <v>44</v>
      </c>
      <c r="W237" s="2">
        <f t="shared" ref="W237:Y237" si="3214">_xlfn.RANK.EQ(V237, V$7:V$375,0)</f>
        <v>255</v>
      </c>
      <c r="X237" s="4">
        <v>0.56799999999999995</v>
      </c>
      <c r="Y237" s="2">
        <f t="shared" si="3214"/>
        <v>83</v>
      </c>
      <c r="Z237" s="2">
        <v>29</v>
      </c>
      <c r="AA237" s="2">
        <f t="shared" ref="AA237:AC237" si="3215">_xlfn.RANK.EQ(Z237, Z$7:Z$375,0)</f>
        <v>178</v>
      </c>
      <c r="AB237" s="2">
        <v>90</v>
      </c>
      <c r="AC237" s="2">
        <f t="shared" si="3215"/>
        <v>181</v>
      </c>
      <c r="AD237" s="4">
        <v>0.32200000000000001</v>
      </c>
      <c r="AE237" s="2">
        <f t="shared" ref="AE237:AG237" si="3216">_xlfn.RANK.EQ(AD237, AD$7:AD$375,0)</f>
        <v>177</v>
      </c>
      <c r="AF237" s="2">
        <v>16</v>
      </c>
      <c r="AG237" s="2">
        <f t="shared" si="3216"/>
        <v>233</v>
      </c>
      <c r="AH237" s="2">
        <v>26</v>
      </c>
      <c r="AI237" s="2">
        <f t="shared" ref="AI237:AK237" si="3217">_xlfn.RANK.EQ(AH237, AH$7:AH$375,0)</f>
        <v>222</v>
      </c>
      <c r="AJ237" s="4">
        <v>0.61499999999999999</v>
      </c>
      <c r="AK237" s="2">
        <f t="shared" si="3217"/>
        <v>265</v>
      </c>
      <c r="AL237" s="2">
        <v>14</v>
      </c>
      <c r="AM237" s="2">
        <f t="shared" ref="AM237:AO237" si="3218">_xlfn.RANK.EQ(AL237, AL$7:AL$375,0)</f>
        <v>249</v>
      </c>
      <c r="AN237" s="2">
        <v>35</v>
      </c>
      <c r="AO237" s="2">
        <f t="shared" si="3218"/>
        <v>240</v>
      </c>
      <c r="AP237" s="2">
        <v>49</v>
      </c>
      <c r="AQ237" s="2">
        <f t="shared" ref="AQ237:AS237" si="3219">_xlfn.RANK.EQ(AP237, AP$7:AP$375,0)</f>
        <v>251</v>
      </c>
      <c r="AR237" s="2">
        <v>67</v>
      </c>
      <c r="AS237" s="2">
        <f t="shared" si="3219"/>
        <v>183</v>
      </c>
      <c r="AT237" s="2">
        <v>29</v>
      </c>
      <c r="AU237" s="2">
        <f t="shared" ref="AU237:AW237" si="3220">_xlfn.RANK.EQ(AT237, AT$7:AT$375,0)</f>
        <v>212</v>
      </c>
      <c r="AV237" s="2">
        <v>14</v>
      </c>
      <c r="AW237" s="2">
        <f t="shared" si="3220"/>
        <v>246</v>
      </c>
      <c r="AX237" s="2">
        <v>0</v>
      </c>
      <c r="AY237" s="2">
        <f t="shared" ref="AY237:BA237" si="3221">_xlfn.RANK.EQ(AX237, AX$7:AX$375,0)</f>
        <v>298</v>
      </c>
      <c r="AZ237" s="2">
        <v>4</v>
      </c>
      <c r="BA237" s="2">
        <f t="shared" si="3221"/>
        <v>246</v>
      </c>
      <c r="BB237" s="2">
        <v>78</v>
      </c>
      <c r="BC237" s="2">
        <f t="shared" ref="BC237:BE237" si="3222">_xlfn.RANK.EQ(BB237, BB$7:BB$375,0)</f>
        <v>196</v>
      </c>
      <c r="BD237" s="2">
        <v>24</v>
      </c>
      <c r="BE237" s="2">
        <f t="shared" si="3222"/>
        <v>256</v>
      </c>
      <c r="BF237" s="2">
        <v>106</v>
      </c>
      <c r="BG237" s="2">
        <f t="shared" ref="BG237:BI237" si="3223">_xlfn.RANK.EQ(BF237, BF$7:BF$375,0)</f>
        <v>240</v>
      </c>
      <c r="BH237" s="2">
        <v>126</v>
      </c>
      <c r="BI237" s="2">
        <f t="shared" si="3223"/>
        <v>75</v>
      </c>
    </row>
    <row r="238" spans="1:61" x14ac:dyDescent="0.55000000000000004">
      <c r="A238" s="2">
        <v>232</v>
      </c>
      <c r="B238" s="2" t="s">
        <v>288</v>
      </c>
      <c r="C238" s="2" t="s">
        <v>38</v>
      </c>
      <c r="D238" s="2">
        <v>46</v>
      </c>
      <c r="E238" s="2">
        <f t="shared" si="2691"/>
        <v>215</v>
      </c>
      <c r="F238" s="2">
        <v>25</v>
      </c>
      <c r="G238" s="2">
        <f t="shared" ref="G238:I238" si="3224">_xlfn.RANK.EQ(F238, F$7:F$375,0)</f>
        <v>132</v>
      </c>
      <c r="H238" s="3">
        <v>27.087499999999999</v>
      </c>
      <c r="I238" s="2">
        <f t="shared" si="3224"/>
        <v>222</v>
      </c>
      <c r="J238" s="5">
        <v>0.58819444444444446</v>
      </c>
      <c r="K238" s="2">
        <f t="shared" ref="K238:M238" si="3225">_xlfn.RANK.EQ(J238, J$7:J$375,0)</f>
        <v>233</v>
      </c>
      <c r="L238" s="2">
        <v>152</v>
      </c>
      <c r="M238" s="2">
        <f t="shared" si="3225"/>
        <v>232</v>
      </c>
      <c r="N238" s="2">
        <v>55</v>
      </c>
      <c r="O238" s="2">
        <f t="shared" ref="O238:Q238" si="3226">_xlfn.RANK.EQ(N238, N$7:N$375,0)</f>
        <v>232</v>
      </c>
      <c r="P238" s="2">
        <v>116</v>
      </c>
      <c r="Q238" s="2">
        <f t="shared" si="3226"/>
        <v>251</v>
      </c>
      <c r="R238" s="4">
        <v>0.47399999999999998</v>
      </c>
      <c r="S238" s="2">
        <f t="shared" ref="S238:U238" si="3227">_xlfn.RANK.EQ(R238, R$7:R$375,0)</f>
        <v>87</v>
      </c>
      <c r="T238" s="2">
        <v>55</v>
      </c>
      <c r="U238" s="2">
        <f t="shared" si="3227"/>
        <v>162</v>
      </c>
      <c r="V238" s="2">
        <v>116</v>
      </c>
      <c r="W238" s="2">
        <f t="shared" ref="W238:Y238" si="3228">_xlfn.RANK.EQ(V238, V$7:V$375,0)</f>
        <v>167</v>
      </c>
      <c r="X238" s="4">
        <v>0.47399999999999998</v>
      </c>
      <c r="Y238" s="2">
        <f t="shared" si="3228"/>
        <v>216</v>
      </c>
      <c r="Z238" s="2">
        <v>0</v>
      </c>
      <c r="AA238" s="2">
        <f t="shared" ref="AA238:AC238" si="3229">_xlfn.RANK.EQ(Z238, Z$7:Z$375,0)</f>
        <v>329</v>
      </c>
      <c r="AB238" s="2">
        <v>0</v>
      </c>
      <c r="AC238" s="2">
        <f t="shared" si="3229"/>
        <v>360</v>
      </c>
      <c r="AD238" s="4">
        <v>0</v>
      </c>
      <c r="AE238" s="2">
        <f t="shared" ref="AE238:AG238" si="3230">_xlfn.RANK.EQ(AD238, AD$7:AD$375,0)</f>
        <v>329</v>
      </c>
      <c r="AF238" s="2">
        <v>42</v>
      </c>
      <c r="AG238" s="2">
        <f t="shared" si="3230"/>
        <v>141</v>
      </c>
      <c r="AH238" s="2">
        <v>69</v>
      </c>
      <c r="AI238" s="2">
        <f t="shared" ref="AI238:AK238" si="3231">_xlfn.RANK.EQ(AH238, AH$7:AH$375,0)</f>
        <v>127</v>
      </c>
      <c r="AJ238" s="4">
        <v>0.60899999999999999</v>
      </c>
      <c r="AK238" s="2">
        <f t="shared" si="3231"/>
        <v>268</v>
      </c>
      <c r="AL238" s="2">
        <v>51</v>
      </c>
      <c r="AM238" s="2">
        <f t="shared" ref="AM238:AO238" si="3232">_xlfn.RANK.EQ(AL238, AL$7:AL$375,0)</f>
        <v>88</v>
      </c>
      <c r="AN238" s="2">
        <v>78</v>
      </c>
      <c r="AO238" s="2">
        <f t="shared" si="3232"/>
        <v>149</v>
      </c>
      <c r="AP238" s="2">
        <v>129</v>
      </c>
      <c r="AQ238" s="2">
        <f t="shared" ref="AQ238:AS238" si="3233">_xlfn.RANK.EQ(AP238, AP$7:AP$375,0)</f>
        <v>122</v>
      </c>
      <c r="AR238" s="2">
        <v>19</v>
      </c>
      <c r="AS238" s="2">
        <f t="shared" si="3233"/>
        <v>280</v>
      </c>
      <c r="AT238" s="2">
        <v>42</v>
      </c>
      <c r="AU238" s="2">
        <f t="shared" ref="AU238:AW238" si="3234">_xlfn.RANK.EQ(AT238, AT$7:AT$375,0)</f>
        <v>166</v>
      </c>
      <c r="AV238" s="2">
        <v>15</v>
      </c>
      <c r="AW238" s="2">
        <f t="shared" si="3234"/>
        <v>238</v>
      </c>
      <c r="AX238" s="2">
        <v>20</v>
      </c>
      <c r="AY238" s="2">
        <f t="shared" ref="AY238:BA238" si="3235">_xlfn.RANK.EQ(AX238, AX$7:AX$375,0)</f>
        <v>65</v>
      </c>
      <c r="AZ238" s="2">
        <v>9</v>
      </c>
      <c r="BA238" s="2">
        <f t="shared" si="3235"/>
        <v>160</v>
      </c>
      <c r="BB238" s="2">
        <v>103</v>
      </c>
      <c r="BC238" s="2">
        <f t="shared" ref="BC238:BE238" si="3236">_xlfn.RANK.EQ(BB238, BB$7:BB$375,0)</f>
        <v>130</v>
      </c>
      <c r="BD238" s="2">
        <v>57</v>
      </c>
      <c r="BE238" s="2">
        <f t="shared" si="3236"/>
        <v>162</v>
      </c>
      <c r="BF238" s="2">
        <v>147</v>
      </c>
      <c r="BG238" s="2">
        <f t="shared" ref="BG238:BI238" si="3237">_xlfn.RANK.EQ(BF238, BF$7:BF$375,0)</f>
        <v>207</v>
      </c>
      <c r="BH238" s="2">
        <v>4</v>
      </c>
      <c r="BI238" s="2">
        <f t="shared" si="3237"/>
        <v>142</v>
      </c>
    </row>
    <row r="239" spans="1:61" x14ac:dyDescent="0.55000000000000004">
      <c r="A239" s="2">
        <v>233</v>
      </c>
      <c r="B239" s="2" t="s">
        <v>289</v>
      </c>
      <c r="C239" s="2" t="s">
        <v>64</v>
      </c>
      <c r="D239" s="2">
        <v>58</v>
      </c>
      <c r="E239" s="2">
        <f t="shared" si="2691"/>
        <v>78</v>
      </c>
      <c r="F239" s="2">
        <v>23</v>
      </c>
      <c r="G239" s="2">
        <f t="shared" ref="G239:I239" si="3238">_xlfn.RANK.EQ(F239, F$7:F$375,0)</f>
        <v>144</v>
      </c>
      <c r="H239" s="3">
        <v>33.895138888888887</v>
      </c>
      <c r="I239" s="2">
        <f t="shared" si="3238"/>
        <v>181</v>
      </c>
      <c r="J239" s="5">
        <v>0.58402777777777781</v>
      </c>
      <c r="K239" s="2">
        <f t="shared" ref="K239:M239" si="3239">_xlfn.RANK.EQ(J239, J$7:J$375,0)</f>
        <v>234</v>
      </c>
      <c r="L239" s="2">
        <v>150</v>
      </c>
      <c r="M239" s="2">
        <f t="shared" si="3239"/>
        <v>233</v>
      </c>
      <c r="N239" s="2">
        <v>55</v>
      </c>
      <c r="O239" s="2">
        <f t="shared" ref="O239:Q239" si="3240">_xlfn.RANK.EQ(N239, N$7:N$375,0)</f>
        <v>232</v>
      </c>
      <c r="P239" s="2">
        <v>128</v>
      </c>
      <c r="Q239" s="2">
        <f t="shared" si="3240"/>
        <v>242</v>
      </c>
      <c r="R239" s="4">
        <v>0.43</v>
      </c>
      <c r="S239" s="2">
        <f t="shared" ref="S239:U239" si="3241">_xlfn.RANK.EQ(R239, R$7:R$375,0)</f>
        <v>149</v>
      </c>
      <c r="T239" s="2">
        <v>30</v>
      </c>
      <c r="U239" s="2">
        <f t="shared" si="3241"/>
        <v>228</v>
      </c>
      <c r="V239" s="2">
        <v>64</v>
      </c>
      <c r="W239" s="2">
        <f t="shared" ref="W239:Y239" si="3242">_xlfn.RANK.EQ(V239, V$7:V$375,0)</f>
        <v>225</v>
      </c>
      <c r="X239" s="4">
        <v>0.46899999999999997</v>
      </c>
      <c r="Y239" s="2">
        <f t="shared" si="3242"/>
        <v>222</v>
      </c>
      <c r="Z239" s="2">
        <v>25</v>
      </c>
      <c r="AA239" s="2">
        <f t="shared" ref="AA239:AC239" si="3243">_xlfn.RANK.EQ(Z239, Z$7:Z$375,0)</f>
        <v>196</v>
      </c>
      <c r="AB239" s="2">
        <v>64</v>
      </c>
      <c r="AC239" s="2">
        <f t="shared" si="3243"/>
        <v>210</v>
      </c>
      <c r="AD239" s="4">
        <v>0.39100000000000001</v>
      </c>
      <c r="AE239" s="2">
        <f t="shared" ref="AE239:AG239" si="3244">_xlfn.RANK.EQ(AD239, AD$7:AD$375,0)</f>
        <v>50</v>
      </c>
      <c r="AF239" s="2">
        <v>15</v>
      </c>
      <c r="AG239" s="2">
        <f t="shared" si="3244"/>
        <v>237</v>
      </c>
      <c r="AH239" s="2">
        <v>21</v>
      </c>
      <c r="AI239" s="2">
        <f t="shared" ref="AI239:AK239" si="3245">_xlfn.RANK.EQ(AH239, AH$7:AH$375,0)</f>
        <v>240</v>
      </c>
      <c r="AJ239" s="4">
        <v>0.71399999999999997</v>
      </c>
      <c r="AK239" s="2">
        <f t="shared" si="3245"/>
        <v>191</v>
      </c>
      <c r="AL239" s="2">
        <v>42</v>
      </c>
      <c r="AM239" s="2">
        <f t="shared" ref="AM239:AO239" si="3246">_xlfn.RANK.EQ(AL239, AL$7:AL$375,0)</f>
        <v>109</v>
      </c>
      <c r="AN239" s="2">
        <v>59</v>
      </c>
      <c r="AO239" s="2">
        <f t="shared" si="3246"/>
        <v>184</v>
      </c>
      <c r="AP239" s="2">
        <v>101</v>
      </c>
      <c r="AQ239" s="2">
        <f t="shared" ref="AQ239:AS239" si="3247">_xlfn.RANK.EQ(AP239, AP$7:AP$375,0)</f>
        <v>160</v>
      </c>
      <c r="AR239" s="2">
        <v>53</v>
      </c>
      <c r="AS239" s="2">
        <f t="shared" si="3247"/>
        <v>211</v>
      </c>
      <c r="AT239" s="2">
        <v>25</v>
      </c>
      <c r="AU239" s="2">
        <f t="shared" ref="AU239:AW239" si="3248">_xlfn.RANK.EQ(AT239, AT$7:AT$375,0)</f>
        <v>231</v>
      </c>
      <c r="AV239" s="2">
        <v>20</v>
      </c>
      <c r="AW239" s="2">
        <f t="shared" si="3248"/>
        <v>207</v>
      </c>
      <c r="AX239" s="2">
        <v>2</v>
      </c>
      <c r="AY239" s="2">
        <f t="shared" ref="AY239:BA239" si="3249">_xlfn.RANK.EQ(AX239, AX$7:AX$375,0)</f>
        <v>234</v>
      </c>
      <c r="AZ239" s="2">
        <v>6</v>
      </c>
      <c r="BA239" s="2">
        <f t="shared" si="3249"/>
        <v>214</v>
      </c>
      <c r="BB239" s="2">
        <v>100</v>
      </c>
      <c r="BC239" s="2">
        <f t="shared" ref="BC239:BE239" si="3250">_xlfn.RANK.EQ(BB239, BB$7:BB$375,0)</f>
        <v>139</v>
      </c>
      <c r="BD239" s="2">
        <v>33</v>
      </c>
      <c r="BE239" s="2">
        <f t="shared" si="3250"/>
        <v>223</v>
      </c>
      <c r="BF239" s="2">
        <v>149</v>
      </c>
      <c r="BG239" s="2">
        <f t="shared" ref="BG239:BI239" si="3251">_xlfn.RANK.EQ(BF239, BF$7:BF$375,0)</f>
        <v>206</v>
      </c>
      <c r="BH239" s="2">
        <v>321</v>
      </c>
      <c r="BI239" s="2">
        <f t="shared" si="3251"/>
        <v>21</v>
      </c>
    </row>
    <row r="240" spans="1:61" x14ac:dyDescent="0.55000000000000004">
      <c r="A240" s="2">
        <v>234</v>
      </c>
      <c r="B240" s="2" t="s">
        <v>290</v>
      </c>
      <c r="C240" s="2" t="s">
        <v>40</v>
      </c>
      <c r="D240" s="2">
        <v>45</v>
      </c>
      <c r="E240" s="2">
        <f t="shared" si="2691"/>
        <v>217</v>
      </c>
      <c r="F240" s="2">
        <v>6</v>
      </c>
      <c r="G240" s="2">
        <f t="shared" ref="G240:I240" si="3252">_xlfn.RANK.EQ(F240, F$7:F$375,0)</f>
        <v>228</v>
      </c>
      <c r="H240" s="3">
        <v>19.573611111111113</v>
      </c>
      <c r="I240" s="2">
        <f t="shared" si="3252"/>
        <v>258</v>
      </c>
      <c r="J240" s="5">
        <v>0.43472222222222223</v>
      </c>
      <c r="K240" s="2">
        <f t="shared" ref="K240:M240" si="3253">_xlfn.RANK.EQ(J240, J$7:J$375,0)</f>
        <v>268</v>
      </c>
      <c r="L240" s="2">
        <v>149</v>
      </c>
      <c r="M240" s="2">
        <f t="shared" si="3253"/>
        <v>234</v>
      </c>
      <c r="N240" s="2">
        <v>55</v>
      </c>
      <c r="O240" s="2">
        <f t="shared" ref="O240:Q240" si="3254">_xlfn.RANK.EQ(N240, N$7:N$375,0)</f>
        <v>232</v>
      </c>
      <c r="P240" s="2">
        <v>140</v>
      </c>
      <c r="Q240" s="2">
        <f t="shared" si="3254"/>
        <v>234</v>
      </c>
      <c r="R240" s="4">
        <v>0.39300000000000002</v>
      </c>
      <c r="S240" s="2">
        <f t="shared" ref="S240:U240" si="3255">_xlfn.RANK.EQ(R240, R$7:R$375,0)</f>
        <v>217</v>
      </c>
      <c r="T240" s="2">
        <v>29</v>
      </c>
      <c r="U240" s="2">
        <f t="shared" si="3255"/>
        <v>233</v>
      </c>
      <c r="V240" s="2">
        <v>59</v>
      </c>
      <c r="W240" s="2">
        <f t="shared" ref="W240:Y240" si="3256">_xlfn.RANK.EQ(V240, V$7:V$375,0)</f>
        <v>239</v>
      </c>
      <c r="X240" s="4">
        <v>0.49199999999999999</v>
      </c>
      <c r="Y240" s="2">
        <f t="shared" si="3256"/>
        <v>192</v>
      </c>
      <c r="Z240" s="2">
        <v>26</v>
      </c>
      <c r="AA240" s="2">
        <f t="shared" ref="AA240:AC240" si="3257">_xlfn.RANK.EQ(Z240, Z$7:Z$375,0)</f>
        <v>187</v>
      </c>
      <c r="AB240" s="2">
        <v>81</v>
      </c>
      <c r="AC240" s="2">
        <f t="shared" si="3257"/>
        <v>194</v>
      </c>
      <c r="AD240" s="4">
        <v>0.32100000000000001</v>
      </c>
      <c r="AE240" s="2">
        <f t="shared" ref="AE240:AG240" si="3258">_xlfn.RANK.EQ(AD240, AD$7:AD$375,0)</f>
        <v>179</v>
      </c>
      <c r="AF240" s="2">
        <v>13</v>
      </c>
      <c r="AG240" s="2">
        <f t="shared" si="3258"/>
        <v>248</v>
      </c>
      <c r="AH240" s="2">
        <v>23</v>
      </c>
      <c r="AI240" s="2">
        <f t="shared" ref="AI240:AK240" si="3259">_xlfn.RANK.EQ(AH240, AH$7:AH$375,0)</f>
        <v>237</v>
      </c>
      <c r="AJ240" s="4">
        <v>0.56499999999999995</v>
      </c>
      <c r="AK240" s="2">
        <f t="shared" si="3259"/>
        <v>290</v>
      </c>
      <c r="AL240" s="2">
        <v>11</v>
      </c>
      <c r="AM240" s="2">
        <f t="shared" ref="AM240:AO240" si="3260">_xlfn.RANK.EQ(AL240, AL$7:AL$375,0)</f>
        <v>272</v>
      </c>
      <c r="AN240" s="2">
        <v>27</v>
      </c>
      <c r="AO240" s="2">
        <f t="shared" si="3260"/>
        <v>269</v>
      </c>
      <c r="AP240" s="2">
        <v>38</v>
      </c>
      <c r="AQ240" s="2">
        <f t="shared" ref="AQ240:AS240" si="3261">_xlfn.RANK.EQ(AP240, AP$7:AP$375,0)</f>
        <v>274</v>
      </c>
      <c r="AR240" s="2">
        <v>23</v>
      </c>
      <c r="AS240" s="2">
        <f t="shared" si="3261"/>
        <v>266</v>
      </c>
      <c r="AT240" s="2">
        <v>24</v>
      </c>
      <c r="AU240" s="2">
        <f t="shared" ref="AU240:AW240" si="3262">_xlfn.RANK.EQ(AT240, AT$7:AT$375,0)</f>
        <v>236</v>
      </c>
      <c r="AV240" s="2">
        <v>15</v>
      </c>
      <c r="AW240" s="2">
        <f t="shared" si="3262"/>
        <v>238</v>
      </c>
      <c r="AX240" s="2">
        <v>4</v>
      </c>
      <c r="AY240" s="2">
        <f t="shared" ref="AY240:BA240" si="3263">_xlfn.RANK.EQ(AX240, AX$7:AX$375,0)</f>
        <v>186</v>
      </c>
      <c r="AZ240" s="2">
        <v>4</v>
      </c>
      <c r="BA240" s="2">
        <f t="shared" si="3263"/>
        <v>246</v>
      </c>
      <c r="BB240" s="2">
        <v>70</v>
      </c>
      <c r="BC240" s="2">
        <f t="shared" ref="BC240:BE240" si="3264">_xlfn.RANK.EQ(BB240, BB$7:BB$375,0)</f>
        <v>215</v>
      </c>
      <c r="BD240" s="2">
        <v>27</v>
      </c>
      <c r="BE240" s="2">
        <f t="shared" si="3264"/>
        <v>243</v>
      </c>
      <c r="BF240" s="2">
        <v>63</v>
      </c>
      <c r="BG240" s="2">
        <f t="shared" ref="BG240:BI240" si="3265">_xlfn.RANK.EQ(BF240, BF$7:BF$375,0)</f>
        <v>268</v>
      </c>
      <c r="BH240" s="2">
        <v>-73</v>
      </c>
      <c r="BI240" s="2">
        <f t="shared" si="3265"/>
        <v>263</v>
      </c>
    </row>
    <row r="241" spans="1:61" x14ac:dyDescent="0.55000000000000004">
      <c r="A241" s="2">
        <v>235</v>
      </c>
      <c r="B241" s="2" t="s">
        <v>291</v>
      </c>
      <c r="C241" s="2" t="s">
        <v>91</v>
      </c>
      <c r="D241" s="2">
        <v>55</v>
      </c>
      <c r="E241" s="2">
        <f t="shared" si="2691"/>
        <v>139</v>
      </c>
      <c r="F241" s="2">
        <v>6</v>
      </c>
      <c r="G241" s="2">
        <f t="shared" ref="G241:I241" si="3266">_xlfn.RANK.EQ(F241, F$7:F$375,0)</f>
        <v>228</v>
      </c>
      <c r="H241" s="3">
        <v>24.899305555555557</v>
      </c>
      <c r="I241" s="2">
        <f t="shared" si="3266"/>
        <v>228</v>
      </c>
      <c r="J241" s="5">
        <v>0.45208333333333334</v>
      </c>
      <c r="K241" s="2">
        <f t="shared" ref="K241:M241" si="3267">_xlfn.RANK.EQ(J241, J$7:J$375,0)</f>
        <v>264</v>
      </c>
      <c r="L241" s="2">
        <v>148</v>
      </c>
      <c r="M241" s="2">
        <f t="shared" si="3267"/>
        <v>235</v>
      </c>
      <c r="N241" s="2">
        <v>57</v>
      </c>
      <c r="O241" s="2">
        <f t="shared" ref="O241:Q241" si="3268">_xlfn.RANK.EQ(N241, N$7:N$375,0)</f>
        <v>222</v>
      </c>
      <c r="P241" s="2">
        <v>160</v>
      </c>
      <c r="Q241" s="2">
        <f t="shared" si="3268"/>
        <v>220</v>
      </c>
      <c r="R241" s="4">
        <v>0.35599999999999998</v>
      </c>
      <c r="S241" s="2">
        <f t="shared" ref="S241:U241" si="3269">_xlfn.RANK.EQ(R241, R$7:R$375,0)</f>
        <v>266</v>
      </c>
      <c r="T241" s="2">
        <v>36</v>
      </c>
      <c r="U241" s="2">
        <f t="shared" si="3269"/>
        <v>207</v>
      </c>
      <c r="V241" s="2">
        <v>82</v>
      </c>
      <c r="W241" s="2">
        <f t="shared" ref="W241:Y241" si="3270">_xlfn.RANK.EQ(V241, V$7:V$375,0)</f>
        <v>203</v>
      </c>
      <c r="X241" s="4">
        <v>0.439</v>
      </c>
      <c r="Y241" s="2">
        <f t="shared" si="3270"/>
        <v>254</v>
      </c>
      <c r="Z241" s="2">
        <v>21</v>
      </c>
      <c r="AA241" s="2">
        <f t="shared" ref="AA241:AC241" si="3271">_xlfn.RANK.EQ(Z241, Z$7:Z$375,0)</f>
        <v>206</v>
      </c>
      <c r="AB241" s="2">
        <v>78</v>
      </c>
      <c r="AC241" s="2">
        <f t="shared" si="3271"/>
        <v>195</v>
      </c>
      <c r="AD241" s="4">
        <v>0.26900000000000002</v>
      </c>
      <c r="AE241" s="2">
        <f t="shared" ref="AE241:AG241" si="3272">_xlfn.RANK.EQ(AD241, AD$7:AD$375,0)</f>
        <v>253</v>
      </c>
      <c r="AF241" s="2">
        <v>13</v>
      </c>
      <c r="AG241" s="2">
        <f t="shared" si="3272"/>
        <v>248</v>
      </c>
      <c r="AH241" s="2">
        <v>16</v>
      </c>
      <c r="AI241" s="2">
        <f t="shared" ref="AI241:AK241" si="3273">_xlfn.RANK.EQ(AH241, AH$7:AH$375,0)</f>
        <v>265</v>
      </c>
      <c r="AJ241" s="4">
        <v>0.81299999999999994</v>
      </c>
      <c r="AK241" s="2">
        <f t="shared" si="3273"/>
        <v>67</v>
      </c>
      <c r="AL241" s="2">
        <v>18</v>
      </c>
      <c r="AM241" s="2">
        <f t="shared" ref="AM241:AO241" si="3274">_xlfn.RANK.EQ(AL241, AL$7:AL$375,0)</f>
        <v>215</v>
      </c>
      <c r="AN241" s="2">
        <v>38</v>
      </c>
      <c r="AO241" s="2">
        <f t="shared" si="3274"/>
        <v>231</v>
      </c>
      <c r="AP241" s="2">
        <v>56</v>
      </c>
      <c r="AQ241" s="2">
        <f t="shared" ref="AQ241:AS241" si="3275">_xlfn.RANK.EQ(AP241, AP$7:AP$375,0)</f>
        <v>230</v>
      </c>
      <c r="AR241" s="2">
        <v>96</v>
      </c>
      <c r="AS241" s="2">
        <f t="shared" si="3275"/>
        <v>136</v>
      </c>
      <c r="AT241" s="2">
        <v>60</v>
      </c>
      <c r="AU241" s="2">
        <f t="shared" ref="AU241:AW241" si="3276">_xlfn.RANK.EQ(AT241, AT$7:AT$375,0)</f>
        <v>120</v>
      </c>
      <c r="AV241" s="2">
        <v>28</v>
      </c>
      <c r="AW241" s="2">
        <f t="shared" si="3276"/>
        <v>156</v>
      </c>
      <c r="AX241" s="2">
        <v>0</v>
      </c>
      <c r="AY241" s="2">
        <f t="shared" ref="AY241:BA241" si="3277">_xlfn.RANK.EQ(AX241, AX$7:AX$375,0)</f>
        <v>298</v>
      </c>
      <c r="AZ241" s="2">
        <v>4</v>
      </c>
      <c r="BA241" s="2">
        <f t="shared" si="3277"/>
        <v>246</v>
      </c>
      <c r="BB241" s="2">
        <v>84</v>
      </c>
      <c r="BC241" s="2">
        <f t="shared" ref="BC241:BE241" si="3278">_xlfn.RANK.EQ(BB241, BB$7:BB$375,0)</f>
        <v>180</v>
      </c>
      <c r="BD241" s="2">
        <v>36</v>
      </c>
      <c r="BE241" s="2">
        <f t="shared" si="3278"/>
        <v>216</v>
      </c>
      <c r="BF241" s="2">
        <v>110</v>
      </c>
      <c r="BG241" s="2">
        <f t="shared" ref="BG241:BI241" si="3279">_xlfn.RANK.EQ(BF241, BF$7:BF$375,0)</f>
        <v>237</v>
      </c>
      <c r="BH241" s="2">
        <v>-124</v>
      </c>
      <c r="BI241" s="2">
        <f t="shared" si="3279"/>
        <v>301</v>
      </c>
    </row>
    <row r="242" spans="1:61" x14ac:dyDescent="0.55000000000000004">
      <c r="A242" s="2">
        <v>235</v>
      </c>
      <c r="B242" s="2" t="s">
        <v>292</v>
      </c>
      <c r="C242" s="2" t="s">
        <v>72</v>
      </c>
      <c r="D242" s="2">
        <v>35</v>
      </c>
      <c r="E242" s="2">
        <f t="shared" si="2691"/>
        <v>270</v>
      </c>
      <c r="F242" s="2">
        <v>0</v>
      </c>
      <c r="G242" s="2">
        <f t="shared" ref="G242:I242" si="3280">_xlfn.RANK.EQ(F242, F$7:F$375,0)</f>
        <v>291</v>
      </c>
      <c r="H242" s="3">
        <v>12.008333333333333</v>
      </c>
      <c r="I242" s="2">
        <f t="shared" si="3280"/>
        <v>287</v>
      </c>
      <c r="J242" s="5">
        <v>0.34305555555555556</v>
      </c>
      <c r="K242" s="2">
        <f t="shared" ref="K242:M242" si="3281">_xlfn.RANK.EQ(J242, J$7:J$375,0)</f>
        <v>298</v>
      </c>
      <c r="L242" s="2">
        <v>148</v>
      </c>
      <c r="M242" s="2">
        <f t="shared" si="3281"/>
        <v>235</v>
      </c>
      <c r="N242" s="2">
        <v>46</v>
      </c>
      <c r="O242" s="2">
        <f t="shared" ref="O242:Q242" si="3282">_xlfn.RANK.EQ(N242, N$7:N$375,0)</f>
        <v>251</v>
      </c>
      <c r="P242" s="2">
        <v>110</v>
      </c>
      <c r="Q242" s="2">
        <f t="shared" si="3282"/>
        <v>257</v>
      </c>
      <c r="R242" s="4">
        <v>0.41799999999999998</v>
      </c>
      <c r="S242" s="2">
        <f t="shared" ref="S242:U242" si="3283">_xlfn.RANK.EQ(R242, R$7:R$375,0)</f>
        <v>166</v>
      </c>
      <c r="T242" s="2">
        <v>27</v>
      </c>
      <c r="U242" s="2">
        <f t="shared" si="3283"/>
        <v>237</v>
      </c>
      <c r="V242" s="2">
        <v>46</v>
      </c>
      <c r="W242" s="2">
        <f t="shared" ref="W242:Y242" si="3284">_xlfn.RANK.EQ(V242, V$7:V$375,0)</f>
        <v>252</v>
      </c>
      <c r="X242" s="4">
        <v>0.58699999999999997</v>
      </c>
      <c r="Y242" s="2">
        <f t="shared" si="3284"/>
        <v>65</v>
      </c>
      <c r="Z242" s="2">
        <v>19</v>
      </c>
      <c r="AA242" s="2">
        <f t="shared" ref="AA242:AC242" si="3285">_xlfn.RANK.EQ(Z242, Z$7:Z$375,0)</f>
        <v>213</v>
      </c>
      <c r="AB242" s="2">
        <v>64</v>
      </c>
      <c r="AC242" s="2">
        <f t="shared" si="3285"/>
        <v>210</v>
      </c>
      <c r="AD242" s="4">
        <v>0.29699999999999999</v>
      </c>
      <c r="AE242" s="2">
        <f t="shared" ref="AE242:AG242" si="3286">_xlfn.RANK.EQ(AD242, AD$7:AD$375,0)</f>
        <v>215</v>
      </c>
      <c r="AF242" s="2">
        <v>37</v>
      </c>
      <c r="AG242" s="2">
        <f t="shared" si="3286"/>
        <v>150</v>
      </c>
      <c r="AH242" s="2">
        <v>40</v>
      </c>
      <c r="AI242" s="2">
        <f t="shared" ref="AI242:AK242" si="3287">_xlfn.RANK.EQ(AH242, AH$7:AH$375,0)</f>
        <v>172</v>
      </c>
      <c r="AJ242" s="4">
        <v>0.92500000000000004</v>
      </c>
      <c r="AK242" s="2">
        <f t="shared" si="3287"/>
        <v>15</v>
      </c>
      <c r="AL242" s="2">
        <v>14</v>
      </c>
      <c r="AM242" s="2">
        <f t="shared" ref="AM242:AO242" si="3288">_xlfn.RANK.EQ(AL242, AL$7:AL$375,0)</f>
        <v>249</v>
      </c>
      <c r="AN242" s="2">
        <v>22</v>
      </c>
      <c r="AO242" s="2">
        <f t="shared" si="3288"/>
        <v>281</v>
      </c>
      <c r="AP242" s="2">
        <v>36</v>
      </c>
      <c r="AQ242" s="2">
        <f t="shared" ref="AQ242:AS242" si="3289">_xlfn.RANK.EQ(AP242, AP$7:AP$375,0)</f>
        <v>277</v>
      </c>
      <c r="AR242" s="2">
        <v>33</v>
      </c>
      <c r="AS242" s="2">
        <f t="shared" si="3289"/>
        <v>245</v>
      </c>
      <c r="AT242" s="2">
        <v>22</v>
      </c>
      <c r="AU242" s="2">
        <f t="shared" ref="AU242:AW242" si="3290">_xlfn.RANK.EQ(AT242, AT$7:AT$375,0)</f>
        <v>245</v>
      </c>
      <c r="AV242" s="2">
        <v>5</v>
      </c>
      <c r="AW242" s="2">
        <f t="shared" si="3290"/>
        <v>303</v>
      </c>
      <c r="AX242" s="2">
        <v>0</v>
      </c>
      <c r="AY242" s="2">
        <f t="shared" ref="AY242:BA242" si="3291">_xlfn.RANK.EQ(AX242, AX$7:AX$375,0)</f>
        <v>298</v>
      </c>
      <c r="AZ242" s="2">
        <v>2</v>
      </c>
      <c r="BA242" s="2">
        <f t="shared" si="3291"/>
        <v>285</v>
      </c>
      <c r="BB242" s="2">
        <v>56</v>
      </c>
      <c r="BC242" s="2">
        <f t="shared" ref="BC242:BE242" si="3292">_xlfn.RANK.EQ(BB242, BB$7:BB$375,0)</f>
        <v>255</v>
      </c>
      <c r="BD242" s="2">
        <v>49</v>
      </c>
      <c r="BE242" s="2">
        <f t="shared" si="3292"/>
        <v>175</v>
      </c>
      <c r="BF242" s="2">
        <v>124</v>
      </c>
      <c r="BG242" s="2">
        <f t="shared" ref="BG242:BI242" si="3293">_xlfn.RANK.EQ(BF242, BF$7:BF$375,0)</f>
        <v>232</v>
      </c>
      <c r="BH242" s="2">
        <v>-18</v>
      </c>
      <c r="BI242" s="2">
        <f t="shared" si="3293"/>
        <v>189</v>
      </c>
    </row>
    <row r="243" spans="1:61" x14ac:dyDescent="0.55000000000000004">
      <c r="A243" s="2">
        <v>237</v>
      </c>
      <c r="B243" s="2" t="s">
        <v>293</v>
      </c>
      <c r="C243" s="2" t="s">
        <v>50</v>
      </c>
      <c r="D243" s="2">
        <v>36</v>
      </c>
      <c r="E243" s="2">
        <f t="shared" si="2691"/>
        <v>263</v>
      </c>
      <c r="F243" s="2">
        <v>5</v>
      </c>
      <c r="G243" s="2">
        <f t="shared" ref="G243:I243" si="3294">_xlfn.RANK.EQ(F243, F$7:F$375,0)</f>
        <v>238</v>
      </c>
      <c r="H243" s="3">
        <v>22.234722222222221</v>
      </c>
      <c r="I243" s="2">
        <f t="shared" si="3294"/>
        <v>241</v>
      </c>
      <c r="J243" s="5">
        <v>0.61736111111111114</v>
      </c>
      <c r="K243" s="2">
        <f t="shared" ref="K243:M243" si="3295">_xlfn.RANK.EQ(J243, J$7:J$375,0)</f>
        <v>222</v>
      </c>
      <c r="L243" s="2">
        <v>147</v>
      </c>
      <c r="M243" s="2">
        <f t="shared" si="3295"/>
        <v>237</v>
      </c>
      <c r="N243" s="2">
        <v>50</v>
      </c>
      <c r="O243" s="2">
        <f t="shared" ref="O243:Q243" si="3296">_xlfn.RANK.EQ(N243, N$7:N$375,0)</f>
        <v>246</v>
      </c>
      <c r="P243" s="2">
        <v>121</v>
      </c>
      <c r="Q243" s="2">
        <f t="shared" si="3296"/>
        <v>247</v>
      </c>
      <c r="R243" s="4">
        <v>0.41299999999999998</v>
      </c>
      <c r="S243" s="2">
        <f t="shared" ref="S243:U243" si="3297">_xlfn.RANK.EQ(R243, R$7:R$375,0)</f>
        <v>177</v>
      </c>
      <c r="T243" s="2">
        <v>32</v>
      </c>
      <c r="U243" s="2">
        <f t="shared" si="3297"/>
        <v>222</v>
      </c>
      <c r="V243" s="2">
        <v>67</v>
      </c>
      <c r="W243" s="2">
        <f t="shared" ref="W243:Y243" si="3298">_xlfn.RANK.EQ(V243, V$7:V$375,0)</f>
        <v>218</v>
      </c>
      <c r="X243" s="4">
        <v>0.47799999999999998</v>
      </c>
      <c r="Y243" s="2">
        <f t="shared" si="3298"/>
        <v>209</v>
      </c>
      <c r="Z243" s="2">
        <v>18</v>
      </c>
      <c r="AA243" s="2">
        <f t="shared" ref="AA243:AC243" si="3299">_xlfn.RANK.EQ(Z243, Z$7:Z$375,0)</f>
        <v>217</v>
      </c>
      <c r="AB243" s="2">
        <v>54</v>
      </c>
      <c r="AC243" s="2">
        <f t="shared" si="3299"/>
        <v>230</v>
      </c>
      <c r="AD243" s="4">
        <v>0.33300000000000002</v>
      </c>
      <c r="AE243" s="2">
        <f t="shared" ref="AE243:AG243" si="3300">_xlfn.RANK.EQ(AD243, AD$7:AD$375,0)</f>
        <v>149</v>
      </c>
      <c r="AF243" s="2">
        <v>29</v>
      </c>
      <c r="AG243" s="2">
        <f t="shared" si="3300"/>
        <v>176</v>
      </c>
      <c r="AH243" s="2">
        <v>38</v>
      </c>
      <c r="AI243" s="2">
        <f t="shared" ref="AI243:AK243" si="3301">_xlfn.RANK.EQ(AH243, AH$7:AH$375,0)</f>
        <v>181</v>
      </c>
      <c r="AJ243" s="4">
        <v>0.76300000000000001</v>
      </c>
      <c r="AK243" s="2">
        <f t="shared" si="3301"/>
        <v>131</v>
      </c>
      <c r="AL243" s="2">
        <v>12</v>
      </c>
      <c r="AM243" s="2">
        <f t="shared" ref="AM243:AO243" si="3302">_xlfn.RANK.EQ(AL243, AL$7:AL$375,0)</f>
        <v>264</v>
      </c>
      <c r="AN243" s="2">
        <v>19</v>
      </c>
      <c r="AO243" s="2">
        <f t="shared" si="3302"/>
        <v>290</v>
      </c>
      <c r="AP243" s="2">
        <v>31</v>
      </c>
      <c r="AQ243" s="2">
        <f t="shared" ref="AQ243:AS243" si="3303">_xlfn.RANK.EQ(AP243, AP$7:AP$375,0)</f>
        <v>283</v>
      </c>
      <c r="AR243" s="2">
        <v>59</v>
      </c>
      <c r="AS243" s="2">
        <f t="shared" si="3303"/>
        <v>201</v>
      </c>
      <c r="AT243" s="2">
        <v>36</v>
      </c>
      <c r="AU243" s="2">
        <f t="shared" ref="AU243:AW243" si="3304">_xlfn.RANK.EQ(AT243, AT$7:AT$375,0)</f>
        <v>187</v>
      </c>
      <c r="AV243" s="2">
        <v>23</v>
      </c>
      <c r="AW243" s="2">
        <f t="shared" si="3304"/>
        <v>190</v>
      </c>
      <c r="AX243" s="2">
        <v>1</v>
      </c>
      <c r="AY243" s="2">
        <f t="shared" ref="AY243:BA243" si="3305">_xlfn.RANK.EQ(AX243, AX$7:AX$375,0)</f>
        <v>265</v>
      </c>
      <c r="AZ243" s="2">
        <v>4</v>
      </c>
      <c r="BA243" s="2">
        <f t="shared" si="3305"/>
        <v>246</v>
      </c>
      <c r="BB243" s="2">
        <v>71</v>
      </c>
      <c r="BC243" s="2">
        <f t="shared" ref="BC243:BE243" si="3306">_xlfn.RANK.EQ(BB243, BB$7:BB$375,0)</f>
        <v>211</v>
      </c>
      <c r="BD243" s="2">
        <v>59</v>
      </c>
      <c r="BE243" s="2">
        <f t="shared" si="3306"/>
        <v>158</v>
      </c>
      <c r="BF243" s="2">
        <v>129</v>
      </c>
      <c r="BG243" s="2">
        <f t="shared" ref="BG243:BI243" si="3307">_xlfn.RANK.EQ(BF243, BF$7:BF$375,0)</f>
        <v>223</v>
      </c>
      <c r="BH243" s="2">
        <v>3</v>
      </c>
      <c r="BI243" s="2">
        <f t="shared" si="3307"/>
        <v>144</v>
      </c>
    </row>
    <row r="244" spans="1:61" x14ac:dyDescent="0.55000000000000004">
      <c r="A244" s="2">
        <v>238</v>
      </c>
      <c r="B244" s="2" t="s">
        <v>294</v>
      </c>
      <c r="C244" s="2" t="s">
        <v>106</v>
      </c>
      <c r="D244" s="2">
        <v>49</v>
      </c>
      <c r="E244" s="2">
        <f t="shared" si="2691"/>
        <v>194</v>
      </c>
      <c r="F244" s="2">
        <v>18</v>
      </c>
      <c r="G244" s="2">
        <f t="shared" ref="G244:I244" si="3308">_xlfn.RANK.EQ(F244, F$7:F$375,0)</f>
        <v>164</v>
      </c>
      <c r="H244" s="3">
        <v>20.90625</v>
      </c>
      <c r="I244" s="2">
        <f t="shared" si="3308"/>
        <v>248</v>
      </c>
      <c r="J244" s="5">
        <v>0.42638888888888887</v>
      </c>
      <c r="K244" s="2">
        <f t="shared" ref="K244:M244" si="3309">_xlfn.RANK.EQ(J244, J$7:J$375,0)</f>
        <v>271</v>
      </c>
      <c r="L244" s="2">
        <v>146</v>
      </c>
      <c r="M244" s="2">
        <f t="shared" si="3309"/>
        <v>238</v>
      </c>
      <c r="N244" s="2">
        <v>51</v>
      </c>
      <c r="O244" s="2">
        <f t="shared" ref="O244:Q244" si="3310">_xlfn.RANK.EQ(N244, N$7:N$375,0)</f>
        <v>243</v>
      </c>
      <c r="P244" s="2">
        <v>153</v>
      </c>
      <c r="Q244" s="2">
        <f t="shared" si="3310"/>
        <v>224</v>
      </c>
      <c r="R244" s="4">
        <v>0.33300000000000002</v>
      </c>
      <c r="S244" s="2">
        <f t="shared" ref="S244:U244" si="3311">_xlfn.RANK.EQ(R244, R$7:R$375,0)</f>
        <v>297</v>
      </c>
      <c r="T244" s="2">
        <v>33</v>
      </c>
      <c r="U244" s="2">
        <f t="shared" si="3311"/>
        <v>216</v>
      </c>
      <c r="V244" s="2">
        <v>78</v>
      </c>
      <c r="W244" s="2">
        <f t="shared" ref="W244:Y244" si="3312">_xlfn.RANK.EQ(V244, V$7:V$375,0)</f>
        <v>210</v>
      </c>
      <c r="X244" s="4">
        <v>0.42299999999999999</v>
      </c>
      <c r="Y244" s="2">
        <f t="shared" si="3312"/>
        <v>278</v>
      </c>
      <c r="Z244" s="2">
        <v>18</v>
      </c>
      <c r="AA244" s="2">
        <f t="shared" ref="AA244:AC244" si="3313">_xlfn.RANK.EQ(Z244, Z$7:Z$375,0)</f>
        <v>217</v>
      </c>
      <c r="AB244" s="2">
        <v>75</v>
      </c>
      <c r="AC244" s="2">
        <f t="shared" si="3313"/>
        <v>200</v>
      </c>
      <c r="AD244" s="4">
        <v>0.24</v>
      </c>
      <c r="AE244" s="2">
        <f t="shared" ref="AE244:AG244" si="3314">_xlfn.RANK.EQ(AD244, AD$7:AD$375,0)</f>
        <v>275</v>
      </c>
      <c r="AF244" s="2">
        <v>26</v>
      </c>
      <c r="AG244" s="2">
        <f t="shared" si="3314"/>
        <v>190</v>
      </c>
      <c r="AH244" s="2">
        <v>39</v>
      </c>
      <c r="AI244" s="2">
        <f t="shared" ref="AI244:AK244" si="3315">_xlfn.RANK.EQ(AH244, AH$7:AH$375,0)</f>
        <v>179</v>
      </c>
      <c r="AJ244" s="4">
        <v>0.66700000000000004</v>
      </c>
      <c r="AK244" s="2">
        <f t="shared" si="3315"/>
        <v>227</v>
      </c>
      <c r="AL244" s="2">
        <v>26</v>
      </c>
      <c r="AM244" s="2">
        <f t="shared" ref="AM244:AO244" si="3316">_xlfn.RANK.EQ(AL244, AL$7:AL$375,0)</f>
        <v>168</v>
      </c>
      <c r="AN244" s="2">
        <v>44</v>
      </c>
      <c r="AO244" s="2">
        <f t="shared" si="3316"/>
        <v>214</v>
      </c>
      <c r="AP244" s="2">
        <v>70</v>
      </c>
      <c r="AQ244" s="2">
        <f t="shared" ref="AQ244:AS244" si="3317">_xlfn.RANK.EQ(AP244, AP$7:AP$375,0)</f>
        <v>204</v>
      </c>
      <c r="AR244" s="2">
        <v>8</v>
      </c>
      <c r="AS244" s="2">
        <f t="shared" si="3317"/>
        <v>317</v>
      </c>
      <c r="AT244" s="2">
        <v>18</v>
      </c>
      <c r="AU244" s="2">
        <f t="shared" ref="AU244:AW244" si="3318">_xlfn.RANK.EQ(AT244, AT$7:AT$375,0)</f>
        <v>262</v>
      </c>
      <c r="AV244" s="2">
        <v>9</v>
      </c>
      <c r="AW244" s="2">
        <f t="shared" si="3318"/>
        <v>273</v>
      </c>
      <c r="AX244" s="2">
        <v>4</v>
      </c>
      <c r="AY244" s="2">
        <f t="shared" ref="AY244:BA244" si="3319">_xlfn.RANK.EQ(AX244, AX$7:AX$375,0)</f>
        <v>186</v>
      </c>
      <c r="AZ244" s="2">
        <v>12</v>
      </c>
      <c r="BA244" s="2">
        <f t="shared" si="3319"/>
        <v>124</v>
      </c>
      <c r="BB244" s="2">
        <v>65</v>
      </c>
      <c r="BC244" s="2">
        <f t="shared" ref="BC244:BE244" si="3320">_xlfn.RANK.EQ(BB244, BB$7:BB$375,0)</f>
        <v>229</v>
      </c>
      <c r="BD244" s="2">
        <v>38</v>
      </c>
      <c r="BE244" s="2">
        <f t="shared" si="3320"/>
        <v>210</v>
      </c>
      <c r="BF244" s="2">
        <v>65</v>
      </c>
      <c r="BG244" s="2">
        <f t="shared" ref="BG244:BI244" si="3321">_xlfn.RANK.EQ(BF244, BF$7:BF$375,0)</f>
        <v>266</v>
      </c>
      <c r="BH244" s="2">
        <v>-57</v>
      </c>
      <c r="BI244" s="2">
        <f t="shared" si="3321"/>
        <v>244</v>
      </c>
    </row>
    <row r="245" spans="1:61" x14ac:dyDescent="0.55000000000000004">
      <c r="A245" s="2">
        <v>239</v>
      </c>
      <c r="B245" s="2" t="s">
        <v>295</v>
      </c>
      <c r="C245" s="2" t="s">
        <v>74</v>
      </c>
      <c r="D245" s="2">
        <v>59</v>
      </c>
      <c r="E245" s="2">
        <f t="shared" si="2691"/>
        <v>58</v>
      </c>
      <c r="F245" s="2">
        <v>9</v>
      </c>
      <c r="G245" s="2">
        <f t="shared" ref="G245:I245" si="3322">_xlfn.RANK.EQ(F245, F$7:F$375,0)</f>
        <v>206</v>
      </c>
      <c r="H245" s="3">
        <v>43.022222222222226</v>
      </c>
      <c r="I245" s="2">
        <f t="shared" si="3322"/>
        <v>135</v>
      </c>
      <c r="J245" s="5">
        <v>0.72916666666666663</v>
      </c>
      <c r="K245" s="2">
        <f t="shared" ref="K245:M245" si="3323">_xlfn.RANK.EQ(J245, J$7:J$375,0)</f>
        <v>184</v>
      </c>
      <c r="L245" s="2">
        <v>144</v>
      </c>
      <c r="M245" s="2">
        <f t="shared" si="3323"/>
        <v>239</v>
      </c>
      <c r="N245" s="2">
        <v>57</v>
      </c>
      <c r="O245" s="2">
        <f t="shared" ref="O245:Q245" si="3324">_xlfn.RANK.EQ(N245, N$7:N$375,0)</f>
        <v>222</v>
      </c>
      <c r="P245" s="2">
        <v>165</v>
      </c>
      <c r="Q245" s="2">
        <f t="shared" si="3324"/>
        <v>215</v>
      </c>
      <c r="R245" s="4">
        <v>0.34499999999999997</v>
      </c>
      <c r="S245" s="2">
        <f t="shared" ref="S245:U245" si="3325">_xlfn.RANK.EQ(R245, R$7:R$375,0)</f>
        <v>286</v>
      </c>
      <c r="T245" s="2">
        <v>42</v>
      </c>
      <c r="U245" s="2">
        <f t="shared" si="3325"/>
        <v>194</v>
      </c>
      <c r="V245" s="2">
        <v>90</v>
      </c>
      <c r="W245" s="2">
        <f t="shared" ref="W245:Y245" si="3326">_xlfn.RANK.EQ(V245, V$7:V$375,0)</f>
        <v>187</v>
      </c>
      <c r="X245" s="4">
        <v>0.46700000000000003</v>
      </c>
      <c r="Y245" s="2">
        <f t="shared" si="3326"/>
        <v>223</v>
      </c>
      <c r="Z245" s="2">
        <v>15</v>
      </c>
      <c r="AA245" s="2">
        <f t="shared" ref="AA245:AC245" si="3327">_xlfn.RANK.EQ(Z245, Z$7:Z$375,0)</f>
        <v>230</v>
      </c>
      <c r="AB245" s="2">
        <v>75</v>
      </c>
      <c r="AC245" s="2">
        <f t="shared" si="3327"/>
        <v>200</v>
      </c>
      <c r="AD245" s="4">
        <v>0.2</v>
      </c>
      <c r="AE245" s="2">
        <f t="shared" ref="AE245:AG245" si="3328">_xlfn.RANK.EQ(AD245, AD$7:AD$375,0)</f>
        <v>303</v>
      </c>
      <c r="AF245" s="2">
        <v>15</v>
      </c>
      <c r="AG245" s="2">
        <f t="shared" si="3328"/>
        <v>237</v>
      </c>
      <c r="AH245" s="2">
        <v>26</v>
      </c>
      <c r="AI245" s="2">
        <f t="shared" ref="AI245:AK245" si="3329">_xlfn.RANK.EQ(AH245, AH$7:AH$375,0)</f>
        <v>222</v>
      </c>
      <c r="AJ245" s="4">
        <v>0.57699999999999996</v>
      </c>
      <c r="AK245" s="2">
        <f t="shared" si="3329"/>
        <v>281</v>
      </c>
      <c r="AL245" s="2">
        <v>21</v>
      </c>
      <c r="AM245" s="2">
        <f t="shared" ref="AM245:AO245" si="3330">_xlfn.RANK.EQ(AL245, AL$7:AL$375,0)</f>
        <v>193</v>
      </c>
      <c r="AN245" s="2">
        <v>89</v>
      </c>
      <c r="AO245" s="2">
        <f t="shared" si="3330"/>
        <v>123</v>
      </c>
      <c r="AP245" s="2">
        <v>110</v>
      </c>
      <c r="AQ245" s="2">
        <f t="shared" ref="AQ245:AS245" si="3331">_xlfn.RANK.EQ(AP245, AP$7:AP$375,0)</f>
        <v>144</v>
      </c>
      <c r="AR245" s="2">
        <v>82</v>
      </c>
      <c r="AS245" s="2">
        <f t="shared" si="3331"/>
        <v>160</v>
      </c>
      <c r="AT245" s="2">
        <v>42</v>
      </c>
      <c r="AU245" s="2">
        <f t="shared" ref="AU245:AW245" si="3332">_xlfn.RANK.EQ(AT245, AT$7:AT$375,0)</f>
        <v>166</v>
      </c>
      <c r="AV245" s="2">
        <v>25</v>
      </c>
      <c r="AW245" s="2">
        <f t="shared" si="3332"/>
        <v>175</v>
      </c>
      <c r="AX245" s="2">
        <v>12</v>
      </c>
      <c r="AY245" s="2">
        <f t="shared" ref="AY245:BA245" si="3333">_xlfn.RANK.EQ(AX245, AX$7:AX$375,0)</f>
        <v>88</v>
      </c>
      <c r="AZ245" s="2">
        <v>7</v>
      </c>
      <c r="BA245" s="2">
        <f t="shared" si="3333"/>
        <v>195</v>
      </c>
      <c r="BB245" s="2">
        <v>100</v>
      </c>
      <c r="BC245" s="2">
        <f t="shared" ref="BC245:BE245" si="3334">_xlfn.RANK.EQ(BB245, BB$7:BB$375,0)</f>
        <v>139</v>
      </c>
      <c r="BD245" s="2">
        <v>42</v>
      </c>
      <c r="BE245" s="2">
        <f t="shared" si="3334"/>
        <v>194</v>
      </c>
      <c r="BF245" s="2">
        <v>147</v>
      </c>
      <c r="BG245" s="2">
        <f t="shared" ref="BG245:BI245" si="3335">_xlfn.RANK.EQ(BF245, BF$7:BF$375,0)</f>
        <v>207</v>
      </c>
      <c r="BH245" s="2">
        <v>-217</v>
      </c>
      <c r="BI245" s="2">
        <f t="shared" si="3335"/>
        <v>344</v>
      </c>
    </row>
    <row r="246" spans="1:61" x14ac:dyDescent="0.55000000000000004">
      <c r="A246" s="2">
        <v>240</v>
      </c>
      <c r="B246" s="2" t="s">
        <v>296</v>
      </c>
      <c r="C246" s="2" t="s">
        <v>40</v>
      </c>
      <c r="D246" s="2">
        <v>44</v>
      </c>
      <c r="E246" s="2">
        <f t="shared" si="2691"/>
        <v>224</v>
      </c>
      <c r="F246" s="2">
        <v>35</v>
      </c>
      <c r="G246" s="2">
        <f t="shared" ref="G246:I246" si="3336">_xlfn.RANK.EQ(F246, F$7:F$375,0)</f>
        <v>101</v>
      </c>
      <c r="H246" s="3">
        <v>28.887499999999999</v>
      </c>
      <c r="I246" s="2">
        <f t="shared" si="3336"/>
        <v>211</v>
      </c>
      <c r="J246" s="5">
        <v>0.65625</v>
      </c>
      <c r="K246" s="2">
        <f t="shared" ref="K246:M246" si="3337">_xlfn.RANK.EQ(J246, J$7:J$375,0)</f>
        <v>208</v>
      </c>
      <c r="L246" s="2">
        <v>143</v>
      </c>
      <c r="M246" s="2">
        <f t="shared" si="3337"/>
        <v>240</v>
      </c>
      <c r="N246" s="2">
        <v>56</v>
      </c>
      <c r="O246" s="2">
        <f t="shared" ref="O246:Q246" si="3338">_xlfn.RANK.EQ(N246, N$7:N$375,0)</f>
        <v>227</v>
      </c>
      <c r="P246" s="2">
        <v>144</v>
      </c>
      <c r="Q246" s="2">
        <f t="shared" si="3338"/>
        <v>229</v>
      </c>
      <c r="R246" s="4">
        <v>0.38900000000000001</v>
      </c>
      <c r="S246" s="2">
        <f t="shared" ref="S246:U246" si="3339">_xlfn.RANK.EQ(R246, R$7:R$375,0)</f>
        <v>225</v>
      </c>
      <c r="T246" s="2">
        <v>43</v>
      </c>
      <c r="U246" s="2">
        <f t="shared" si="3339"/>
        <v>192</v>
      </c>
      <c r="V246" s="2">
        <v>101</v>
      </c>
      <c r="W246" s="2">
        <f t="shared" ref="W246:Y246" si="3340">_xlfn.RANK.EQ(V246, V$7:V$375,0)</f>
        <v>175</v>
      </c>
      <c r="X246" s="4">
        <v>0.42599999999999999</v>
      </c>
      <c r="Y246" s="2">
        <f t="shared" si="3340"/>
        <v>272</v>
      </c>
      <c r="Z246" s="2">
        <v>13</v>
      </c>
      <c r="AA246" s="2">
        <f t="shared" ref="AA246:AC246" si="3341">_xlfn.RANK.EQ(Z246, Z$7:Z$375,0)</f>
        <v>238</v>
      </c>
      <c r="AB246" s="2">
        <v>43</v>
      </c>
      <c r="AC246" s="2">
        <f t="shared" si="3341"/>
        <v>247</v>
      </c>
      <c r="AD246" s="4">
        <v>0.30199999999999999</v>
      </c>
      <c r="AE246" s="2">
        <f t="shared" ref="AE246:AG246" si="3342">_xlfn.RANK.EQ(AD246, AD$7:AD$375,0)</f>
        <v>207</v>
      </c>
      <c r="AF246" s="2">
        <v>18</v>
      </c>
      <c r="AG246" s="2">
        <f t="shared" si="3342"/>
        <v>224</v>
      </c>
      <c r="AH246" s="2">
        <v>29</v>
      </c>
      <c r="AI246" s="2">
        <f t="shared" ref="AI246:AK246" si="3343">_xlfn.RANK.EQ(AH246, AH$7:AH$375,0)</f>
        <v>213</v>
      </c>
      <c r="AJ246" s="4">
        <v>0.621</v>
      </c>
      <c r="AK246" s="2">
        <f t="shared" si="3343"/>
        <v>263</v>
      </c>
      <c r="AL246" s="2">
        <v>30</v>
      </c>
      <c r="AM246" s="2">
        <f t="shared" ref="AM246:AO246" si="3344">_xlfn.RANK.EQ(AL246, AL$7:AL$375,0)</f>
        <v>151</v>
      </c>
      <c r="AN246" s="2">
        <v>53</v>
      </c>
      <c r="AO246" s="2">
        <f t="shared" si="3344"/>
        <v>191</v>
      </c>
      <c r="AP246" s="2">
        <v>83</v>
      </c>
      <c r="AQ246" s="2">
        <f t="shared" ref="AQ246:AS246" si="3345">_xlfn.RANK.EQ(AP246, AP$7:AP$375,0)</f>
        <v>182</v>
      </c>
      <c r="AR246" s="2">
        <v>130</v>
      </c>
      <c r="AS246" s="2">
        <f t="shared" si="3345"/>
        <v>90</v>
      </c>
      <c r="AT246" s="2">
        <v>58</v>
      </c>
      <c r="AU246" s="2">
        <f t="shared" ref="AU246:AW246" si="3346">_xlfn.RANK.EQ(AT246, AT$7:AT$375,0)</f>
        <v>126</v>
      </c>
      <c r="AV246" s="2">
        <v>34</v>
      </c>
      <c r="AW246" s="2">
        <f t="shared" si="3346"/>
        <v>129</v>
      </c>
      <c r="AX246" s="2">
        <v>0</v>
      </c>
      <c r="AY246" s="2">
        <f t="shared" ref="AY246:BA246" si="3347">_xlfn.RANK.EQ(AX246, AX$7:AX$375,0)</f>
        <v>298</v>
      </c>
      <c r="AZ246" s="2">
        <v>3</v>
      </c>
      <c r="BA246" s="2">
        <f t="shared" si="3347"/>
        <v>267</v>
      </c>
      <c r="BB246" s="2">
        <v>106</v>
      </c>
      <c r="BC246" s="2">
        <f t="shared" ref="BC246:BE246" si="3348">_xlfn.RANK.EQ(BB246, BB$7:BB$375,0)</f>
        <v>120</v>
      </c>
      <c r="BD246" s="2">
        <v>58</v>
      </c>
      <c r="BE246" s="2">
        <f t="shared" si="3348"/>
        <v>160</v>
      </c>
      <c r="BF246" s="2">
        <v>180</v>
      </c>
      <c r="BG246" s="2">
        <f t="shared" ref="BG246:BI246" si="3349">_xlfn.RANK.EQ(BF246, BF$7:BF$375,0)</f>
        <v>196</v>
      </c>
      <c r="BH246" s="2">
        <v>128</v>
      </c>
      <c r="BI246" s="2">
        <f t="shared" si="3349"/>
        <v>74</v>
      </c>
    </row>
    <row r="247" spans="1:61" x14ac:dyDescent="0.55000000000000004">
      <c r="A247" s="2">
        <v>240</v>
      </c>
      <c r="B247" s="2" t="s">
        <v>297</v>
      </c>
      <c r="C247" s="2" t="s">
        <v>79</v>
      </c>
      <c r="D247" s="2">
        <v>21</v>
      </c>
      <c r="E247" s="2">
        <f t="shared" si="2691"/>
        <v>314</v>
      </c>
      <c r="F247" s="2">
        <v>14</v>
      </c>
      <c r="G247" s="2">
        <f t="shared" ref="G247:I247" si="3350">_xlfn.RANK.EQ(F247, F$7:F$375,0)</f>
        <v>182</v>
      </c>
      <c r="H247" s="3">
        <v>21.275694444444444</v>
      </c>
      <c r="I247" s="2">
        <f t="shared" si="3350"/>
        <v>246</v>
      </c>
      <c r="J247" s="3">
        <v>1.0125</v>
      </c>
      <c r="K247" s="2">
        <f t="shared" ref="K247:M247" si="3351">_xlfn.RANK.EQ(J247, J$7:J$375,0)</f>
        <v>90</v>
      </c>
      <c r="L247" s="2">
        <v>143</v>
      </c>
      <c r="M247" s="2">
        <f t="shared" si="3351"/>
        <v>240</v>
      </c>
      <c r="N247" s="2">
        <v>47</v>
      </c>
      <c r="O247" s="2">
        <f t="shared" ref="O247:Q247" si="3352">_xlfn.RANK.EQ(N247, N$7:N$375,0)</f>
        <v>249</v>
      </c>
      <c r="P247" s="2">
        <v>141</v>
      </c>
      <c r="Q247" s="2">
        <f t="shared" si="3352"/>
        <v>232</v>
      </c>
      <c r="R247" s="4">
        <v>0.33300000000000002</v>
      </c>
      <c r="S247" s="2">
        <f t="shared" ref="S247:U247" si="3353">_xlfn.RANK.EQ(R247, R$7:R$375,0)</f>
        <v>297</v>
      </c>
      <c r="T247" s="2">
        <v>19</v>
      </c>
      <c r="U247" s="2">
        <f t="shared" si="3353"/>
        <v>263</v>
      </c>
      <c r="V247" s="2">
        <v>53</v>
      </c>
      <c r="W247" s="2">
        <f t="shared" ref="W247:Y247" si="3354">_xlfn.RANK.EQ(V247, V$7:V$375,0)</f>
        <v>244</v>
      </c>
      <c r="X247" s="4">
        <v>0.35799999999999998</v>
      </c>
      <c r="Y247" s="2">
        <f t="shared" si="3354"/>
        <v>321</v>
      </c>
      <c r="Z247" s="2">
        <v>28</v>
      </c>
      <c r="AA247" s="2">
        <f t="shared" ref="AA247:AC247" si="3355">_xlfn.RANK.EQ(Z247, Z$7:Z$375,0)</f>
        <v>182</v>
      </c>
      <c r="AB247" s="2">
        <v>88</v>
      </c>
      <c r="AC247" s="2">
        <f t="shared" si="3355"/>
        <v>186</v>
      </c>
      <c r="AD247" s="4">
        <v>0.318</v>
      </c>
      <c r="AE247" s="2">
        <f t="shared" ref="AE247:AG247" si="3356">_xlfn.RANK.EQ(AD247, AD$7:AD$375,0)</f>
        <v>185</v>
      </c>
      <c r="AF247" s="2">
        <v>21</v>
      </c>
      <c r="AG247" s="2">
        <f t="shared" si="3356"/>
        <v>206</v>
      </c>
      <c r="AH247" s="2">
        <v>29</v>
      </c>
      <c r="AI247" s="2">
        <f t="shared" ref="AI247:AK247" si="3357">_xlfn.RANK.EQ(AH247, AH$7:AH$375,0)</f>
        <v>213</v>
      </c>
      <c r="AJ247" s="4">
        <v>0.72399999999999998</v>
      </c>
      <c r="AK247" s="2">
        <f t="shared" si="3357"/>
        <v>181</v>
      </c>
      <c r="AL247" s="2">
        <v>19</v>
      </c>
      <c r="AM247" s="2">
        <f t="shared" ref="AM247:AO247" si="3358">_xlfn.RANK.EQ(AL247, AL$7:AL$375,0)</f>
        <v>205</v>
      </c>
      <c r="AN247" s="2">
        <v>20</v>
      </c>
      <c r="AO247" s="2">
        <f t="shared" si="3358"/>
        <v>286</v>
      </c>
      <c r="AP247" s="2">
        <v>39</v>
      </c>
      <c r="AQ247" s="2">
        <f t="shared" ref="AQ247:AS247" si="3359">_xlfn.RANK.EQ(AP247, AP$7:AP$375,0)</f>
        <v>270</v>
      </c>
      <c r="AR247" s="2">
        <v>26</v>
      </c>
      <c r="AS247" s="2">
        <f t="shared" si="3359"/>
        <v>256</v>
      </c>
      <c r="AT247" s="2">
        <v>16</v>
      </c>
      <c r="AU247" s="2">
        <f t="shared" ref="AU247:AW247" si="3360">_xlfn.RANK.EQ(AT247, AT$7:AT$375,0)</f>
        <v>278</v>
      </c>
      <c r="AV247" s="2">
        <v>18</v>
      </c>
      <c r="AW247" s="2">
        <f t="shared" si="3360"/>
        <v>221</v>
      </c>
      <c r="AX247" s="2">
        <v>6</v>
      </c>
      <c r="AY247" s="2">
        <f t="shared" ref="AY247:BA247" si="3361">_xlfn.RANK.EQ(AX247, AX$7:AX$375,0)</f>
        <v>156</v>
      </c>
      <c r="AZ247" s="2">
        <v>5</v>
      </c>
      <c r="BA247" s="2">
        <f t="shared" si="3361"/>
        <v>227</v>
      </c>
      <c r="BB247" s="2">
        <v>54</v>
      </c>
      <c r="BC247" s="2">
        <f t="shared" ref="BC247:BE247" si="3362">_xlfn.RANK.EQ(BB247, BB$7:BB$375,0)</f>
        <v>259</v>
      </c>
      <c r="BD247" s="2">
        <v>36</v>
      </c>
      <c r="BE247" s="2">
        <f t="shared" si="3362"/>
        <v>216</v>
      </c>
      <c r="BF247" s="2">
        <v>91</v>
      </c>
      <c r="BG247" s="2">
        <f t="shared" ref="BG247:BI247" si="3363">_xlfn.RANK.EQ(BF247, BF$7:BF$375,0)</f>
        <v>245</v>
      </c>
      <c r="BH247" s="2">
        <v>-184</v>
      </c>
      <c r="BI247" s="2">
        <f t="shared" si="3363"/>
        <v>335</v>
      </c>
    </row>
    <row r="248" spans="1:61" x14ac:dyDescent="0.55000000000000004">
      <c r="A248" s="2">
        <v>240</v>
      </c>
      <c r="B248" s="2" t="s">
        <v>298</v>
      </c>
      <c r="C248" s="2" t="s">
        <v>36</v>
      </c>
      <c r="D248" s="2">
        <v>60</v>
      </c>
      <c r="E248" s="2">
        <f t="shared" si="2691"/>
        <v>1</v>
      </c>
      <c r="F248" s="2">
        <v>0</v>
      </c>
      <c r="G248" s="2">
        <f t="shared" ref="G248:I248" si="3364">_xlfn.RANK.EQ(F248, F$7:F$375,0)</f>
        <v>291</v>
      </c>
      <c r="H248" s="3">
        <v>32.031944444444441</v>
      </c>
      <c r="I248" s="2">
        <f t="shared" si="3364"/>
        <v>193</v>
      </c>
      <c r="J248" s="5">
        <v>0.53333333333333333</v>
      </c>
      <c r="K248" s="2">
        <f t="shared" ref="K248:M248" si="3365">_xlfn.RANK.EQ(J248, J$7:J$375,0)</f>
        <v>245</v>
      </c>
      <c r="L248" s="2">
        <v>143</v>
      </c>
      <c r="M248" s="2">
        <f t="shared" si="3365"/>
        <v>240</v>
      </c>
      <c r="N248" s="2">
        <v>46</v>
      </c>
      <c r="O248" s="2">
        <f t="shared" ref="O248:Q248" si="3366">_xlfn.RANK.EQ(N248, N$7:N$375,0)</f>
        <v>251</v>
      </c>
      <c r="P248" s="2">
        <v>133</v>
      </c>
      <c r="Q248" s="2">
        <f t="shared" si="3366"/>
        <v>238</v>
      </c>
      <c r="R248" s="4">
        <v>0.34599999999999997</v>
      </c>
      <c r="S248" s="2">
        <f t="shared" ref="S248:U248" si="3367">_xlfn.RANK.EQ(R248, R$7:R$375,0)</f>
        <v>284</v>
      </c>
      <c r="T248" s="2">
        <v>14</v>
      </c>
      <c r="U248" s="2">
        <f t="shared" si="3367"/>
        <v>278</v>
      </c>
      <c r="V248" s="2">
        <v>40</v>
      </c>
      <c r="W248" s="2">
        <f t="shared" ref="W248:Y248" si="3368">_xlfn.RANK.EQ(V248, V$7:V$375,0)</f>
        <v>266</v>
      </c>
      <c r="X248" s="4">
        <v>0.35</v>
      </c>
      <c r="Y248" s="2">
        <f t="shared" si="3368"/>
        <v>326</v>
      </c>
      <c r="Z248" s="2">
        <v>32</v>
      </c>
      <c r="AA248" s="2">
        <f t="shared" ref="AA248:AC248" si="3369">_xlfn.RANK.EQ(Z248, Z$7:Z$375,0)</f>
        <v>168</v>
      </c>
      <c r="AB248" s="2">
        <v>93</v>
      </c>
      <c r="AC248" s="2">
        <f t="shared" si="3369"/>
        <v>179</v>
      </c>
      <c r="AD248" s="4">
        <v>0.34399999999999997</v>
      </c>
      <c r="AE248" s="2">
        <f t="shared" ref="AE248:AG248" si="3370">_xlfn.RANK.EQ(AD248, AD$7:AD$375,0)</f>
        <v>126</v>
      </c>
      <c r="AF248" s="2">
        <v>19</v>
      </c>
      <c r="AG248" s="2">
        <f t="shared" si="3370"/>
        <v>221</v>
      </c>
      <c r="AH248" s="2">
        <v>26</v>
      </c>
      <c r="AI248" s="2">
        <f t="shared" ref="AI248:AK248" si="3371">_xlfn.RANK.EQ(AH248, AH$7:AH$375,0)</f>
        <v>222</v>
      </c>
      <c r="AJ248" s="4">
        <v>0.73099999999999998</v>
      </c>
      <c r="AK248" s="2">
        <f t="shared" si="3371"/>
        <v>173</v>
      </c>
      <c r="AL248" s="2">
        <v>9</v>
      </c>
      <c r="AM248" s="2">
        <f t="shared" ref="AM248:AO248" si="3372">_xlfn.RANK.EQ(AL248, AL$7:AL$375,0)</f>
        <v>283</v>
      </c>
      <c r="AN248" s="2">
        <v>49</v>
      </c>
      <c r="AO248" s="2">
        <f t="shared" si="3372"/>
        <v>199</v>
      </c>
      <c r="AP248" s="2">
        <v>58</v>
      </c>
      <c r="AQ248" s="2">
        <f t="shared" ref="AQ248:AS248" si="3373">_xlfn.RANK.EQ(AP248, AP$7:AP$375,0)</f>
        <v>228</v>
      </c>
      <c r="AR248" s="2">
        <v>63</v>
      </c>
      <c r="AS248" s="2">
        <f t="shared" si="3373"/>
        <v>196</v>
      </c>
      <c r="AT248" s="2">
        <v>27</v>
      </c>
      <c r="AU248" s="2">
        <f t="shared" ref="AU248:AW248" si="3374">_xlfn.RANK.EQ(AT248, AT$7:AT$375,0)</f>
        <v>219</v>
      </c>
      <c r="AV248" s="2">
        <v>22</v>
      </c>
      <c r="AW248" s="2">
        <f t="shared" si="3374"/>
        <v>197</v>
      </c>
      <c r="AX248" s="2">
        <v>2</v>
      </c>
      <c r="AY248" s="2">
        <f t="shared" ref="AY248:BA248" si="3375">_xlfn.RANK.EQ(AX248, AX$7:AX$375,0)</f>
        <v>234</v>
      </c>
      <c r="AZ248" s="2">
        <v>4</v>
      </c>
      <c r="BA248" s="2">
        <f t="shared" si="3375"/>
        <v>246</v>
      </c>
      <c r="BB248" s="2">
        <v>66</v>
      </c>
      <c r="BC248" s="2">
        <f t="shared" ref="BC248:BE248" si="3376">_xlfn.RANK.EQ(BB248, BB$7:BB$375,0)</f>
        <v>225</v>
      </c>
      <c r="BD248" s="2">
        <v>43</v>
      </c>
      <c r="BE248" s="2">
        <f t="shared" si="3376"/>
        <v>192</v>
      </c>
      <c r="BF248" s="2">
        <v>140</v>
      </c>
      <c r="BG248" s="2">
        <f t="shared" ref="BG248:BI248" si="3377">_xlfn.RANK.EQ(BF248, BF$7:BF$375,0)</f>
        <v>214</v>
      </c>
      <c r="BH248" s="2">
        <v>-108</v>
      </c>
      <c r="BI248" s="2">
        <f t="shared" si="3377"/>
        <v>289</v>
      </c>
    </row>
    <row r="249" spans="1:61" x14ac:dyDescent="0.55000000000000004">
      <c r="A249" s="2">
        <v>243</v>
      </c>
      <c r="B249" s="2" t="s">
        <v>299</v>
      </c>
      <c r="C249" s="2" t="s">
        <v>67</v>
      </c>
      <c r="D249" s="2">
        <v>56</v>
      </c>
      <c r="E249" s="2">
        <f t="shared" si="2691"/>
        <v>124</v>
      </c>
      <c r="F249" s="2">
        <v>2</v>
      </c>
      <c r="G249" s="2">
        <f t="shared" ref="G249:I249" si="3378">_xlfn.RANK.EQ(F249, F$7:F$375,0)</f>
        <v>256</v>
      </c>
      <c r="H249" s="3">
        <v>25.053472222222222</v>
      </c>
      <c r="I249" s="2">
        <f t="shared" si="3378"/>
        <v>227</v>
      </c>
      <c r="J249" s="5">
        <v>0.44722222222222224</v>
      </c>
      <c r="K249" s="2">
        <f t="shared" ref="K249:M249" si="3379">_xlfn.RANK.EQ(J249, J$7:J$375,0)</f>
        <v>265</v>
      </c>
      <c r="L249" s="2">
        <v>142</v>
      </c>
      <c r="M249" s="2">
        <f t="shared" si="3379"/>
        <v>243</v>
      </c>
      <c r="N249" s="2">
        <v>54</v>
      </c>
      <c r="O249" s="2">
        <f t="shared" ref="O249:Q249" si="3380">_xlfn.RANK.EQ(N249, N$7:N$375,0)</f>
        <v>236</v>
      </c>
      <c r="P249" s="2">
        <v>124</v>
      </c>
      <c r="Q249" s="2">
        <f t="shared" si="3380"/>
        <v>244</v>
      </c>
      <c r="R249" s="4">
        <v>0.435</v>
      </c>
      <c r="S249" s="2">
        <f t="shared" ref="S249:U249" si="3381">_xlfn.RANK.EQ(R249, R$7:R$375,0)</f>
        <v>139</v>
      </c>
      <c r="T249" s="2">
        <v>30</v>
      </c>
      <c r="U249" s="2">
        <f t="shared" si="3381"/>
        <v>228</v>
      </c>
      <c r="V249" s="2">
        <v>60</v>
      </c>
      <c r="W249" s="2">
        <f t="shared" ref="W249:Y249" si="3382">_xlfn.RANK.EQ(V249, V$7:V$375,0)</f>
        <v>237</v>
      </c>
      <c r="X249" s="4">
        <v>0.5</v>
      </c>
      <c r="Y249" s="2">
        <f t="shared" si="3382"/>
        <v>175</v>
      </c>
      <c r="Z249" s="2">
        <v>24</v>
      </c>
      <c r="AA249" s="2">
        <f t="shared" ref="AA249:AC249" si="3383">_xlfn.RANK.EQ(Z249, Z$7:Z$375,0)</f>
        <v>198</v>
      </c>
      <c r="AB249" s="2">
        <v>64</v>
      </c>
      <c r="AC249" s="2">
        <f t="shared" si="3383"/>
        <v>210</v>
      </c>
      <c r="AD249" s="4">
        <v>0.375</v>
      </c>
      <c r="AE249" s="2">
        <f t="shared" ref="AE249:AG249" si="3384">_xlfn.RANK.EQ(AD249, AD$7:AD$375,0)</f>
        <v>70</v>
      </c>
      <c r="AF249" s="2">
        <v>10</v>
      </c>
      <c r="AG249" s="2">
        <f t="shared" si="3384"/>
        <v>271</v>
      </c>
      <c r="AH249" s="2">
        <v>13</v>
      </c>
      <c r="AI249" s="2">
        <f t="shared" ref="AI249:AK249" si="3385">_xlfn.RANK.EQ(AH249, AH$7:AH$375,0)</f>
        <v>281</v>
      </c>
      <c r="AJ249" s="4">
        <v>0.76900000000000002</v>
      </c>
      <c r="AK249" s="2">
        <f t="shared" si="3385"/>
        <v>124</v>
      </c>
      <c r="AL249" s="2">
        <v>30</v>
      </c>
      <c r="AM249" s="2">
        <f t="shared" ref="AM249:AO249" si="3386">_xlfn.RANK.EQ(AL249, AL$7:AL$375,0)</f>
        <v>151</v>
      </c>
      <c r="AN249" s="2">
        <v>48</v>
      </c>
      <c r="AO249" s="2">
        <f t="shared" si="3386"/>
        <v>201</v>
      </c>
      <c r="AP249" s="2">
        <v>78</v>
      </c>
      <c r="AQ249" s="2">
        <f t="shared" ref="AQ249:AS249" si="3387">_xlfn.RANK.EQ(AP249, AP$7:AP$375,0)</f>
        <v>191</v>
      </c>
      <c r="AR249" s="2">
        <v>24</v>
      </c>
      <c r="AS249" s="2">
        <f t="shared" si="3387"/>
        <v>262</v>
      </c>
      <c r="AT249" s="2">
        <v>16</v>
      </c>
      <c r="AU249" s="2">
        <f t="shared" ref="AU249:AW249" si="3388">_xlfn.RANK.EQ(AT249, AT$7:AT$375,0)</f>
        <v>278</v>
      </c>
      <c r="AV249" s="2">
        <v>13</v>
      </c>
      <c r="AW249" s="2">
        <f t="shared" si="3388"/>
        <v>252</v>
      </c>
      <c r="AX249" s="2">
        <v>6</v>
      </c>
      <c r="AY249" s="2">
        <f t="shared" ref="AY249:BA249" si="3389">_xlfn.RANK.EQ(AX249, AX$7:AX$375,0)</f>
        <v>156</v>
      </c>
      <c r="AZ249" s="2">
        <v>6</v>
      </c>
      <c r="BA249" s="2">
        <f t="shared" si="3389"/>
        <v>214</v>
      </c>
      <c r="BB249" s="2">
        <v>60</v>
      </c>
      <c r="BC249" s="2">
        <f t="shared" ref="BC249:BE249" si="3390">_xlfn.RANK.EQ(BB249, BB$7:BB$375,0)</f>
        <v>245</v>
      </c>
      <c r="BD249" s="2">
        <v>17</v>
      </c>
      <c r="BE249" s="2">
        <f t="shared" si="3390"/>
        <v>275</v>
      </c>
      <c r="BF249" s="2">
        <v>125</v>
      </c>
      <c r="BG249" s="2">
        <f t="shared" ref="BG249:BI249" si="3391">_xlfn.RANK.EQ(BF249, BF$7:BF$375,0)</f>
        <v>231</v>
      </c>
      <c r="BH249" s="2">
        <v>67</v>
      </c>
      <c r="BI249" s="2">
        <f t="shared" si="3391"/>
        <v>93</v>
      </c>
    </row>
    <row r="250" spans="1:61" x14ac:dyDescent="0.55000000000000004">
      <c r="A250" s="2">
        <v>244</v>
      </c>
      <c r="B250" s="2" t="s">
        <v>300</v>
      </c>
      <c r="C250" s="2" t="s">
        <v>64</v>
      </c>
      <c r="D250" s="2">
        <v>20</v>
      </c>
      <c r="E250" s="2">
        <f t="shared" si="2691"/>
        <v>323</v>
      </c>
      <c r="F250" s="2">
        <v>19</v>
      </c>
      <c r="G250" s="2">
        <f t="shared" ref="G250:I250" si="3392">_xlfn.RANK.EQ(F250, F$7:F$375,0)</f>
        <v>155</v>
      </c>
      <c r="H250" s="3">
        <v>18.486111111111111</v>
      </c>
      <c r="I250" s="2">
        <f t="shared" si="3392"/>
        <v>263</v>
      </c>
      <c r="J250" s="5">
        <v>0.9243055555555556</v>
      </c>
      <c r="K250" s="2">
        <f t="shared" ref="K250:M250" si="3393">_xlfn.RANK.EQ(J250, J$7:J$375,0)</f>
        <v>120</v>
      </c>
      <c r="L250" s="2">
        <v>140</v>
      </c>
      <c r="M250" s="2">
        <f t="shared" si="3393"/>
        <v>244</v>
      </c>
      <c r="N250" s="2">
        <v>57</v>
      </c>
      <c r="O250" s="2">
        <f t="shared" ref="O250:Q250" si="3394">_xlfn.RANK.EQ(N250, N$7:N$375,0)</f>
        <v>222</v>
      </c>
      <c r="P250" s="2">
        <v>96</v>
      </c>
      <c r="Q250" s="2">
        <f t="shared" si="3394"/>
        <v>267</v>
      </c>
      <c r="R250" s="4">
        <v>0.59399999999999997</v>
      </c>
      <c r="S250" s="2">
        <f t="shared" ref="S250:U250" si="3395">_xlfn.RANK.EQ(R250, R$7:R$375,0)</f>
        <v>18</v>
      </c>
      <c r="T250" s="2">
        <v>54</v>
      </c>
      <c r="U250" s="2">
        <f t="shared" si="3395"/>
        <v>165</v>
      </c>
      <c r="V250" s="2">
        <v>88</v>
      </c>
      <c r="W250" s="2">
        <f t="shared" ref="W250:Y250" si="3396">_xlfn.RANK.EQ(V250, V$7:V$375,0)</f>
        <v>189</v>
      </c>
      <c r="X250" s="4">
        <v>0.61399999999999999</v>
      </c>
      <c r="Y250" s="2">
        <f t="shared" si="3396"/>
        <v>46</v>
      </c>
      <c r="Z250" s="2">
        <v>3</v>
      </c>
      <c r="AA250" s="2">
        <f t="shared" ref="AA250:AC250" si="3397">_xlfn.RANK.EQ(Z250, Z$7:Z$375,0)</f>
        <v>293</v>
      </c>
      <c r="AB250" s="2">
        <v>8</v>
      </c>
      <c r="AC250" s="2">
        <f t="shared" si="3397"/>
        <v>314</v>
      </c>
      <c r="AD250" s="4">
        <v>0.375</v>
      </c>
      <c r="AE250" s="2">
        <f t="shared" ref="AE250:AG250" si="3398">_xlfn.RANK.EQ(AD250, AD$7:AD$375,0)</f>
        <v>70</v>
      </c>
      <c r="AF250" s="2">
        <v>23</v>
      </c>
      <c r="AG250" s="2">
        <f t="shared" si="3398"/>
        <v>199</v>
      </c>
      <c r="AH250" s="2">
        <v>37</v>
      </c>
      <c r="AI250" s="2">
        <f t="shared" ref="AI250:AK250" si="3399">_xlfn.RANK.EQ(AH250, AH$7:AH$375,0)</f>
        <v>190</v>
      </c>
      <c r="AJ250" s="4">
        <v>0.622</v>
      </c>
      <c r="AK250" s="2">
        <f t="shared" si="3399"/>
        <v>261</v>
      </c>
      <c r="AL250" s="2">
        <v>39</v>
      </c>
      <c r="AM250" s="2">
        <f t="shared" ref="AM250:AO250" si="3400">_xlfn.RANK.EQ(AL250, AL$7:AL$375,0)</f>
        <v>115</v>
      </c>
      <c r="AN250" s="2">
        <v>78</v>
      </c>
      <c r="AO250" s="2">
        <f t="shared" si="3400"/>
        <v>149</v>
      </c>
      <c r="AP250" s="2">
        <v>117</v>
      </c>
      <c r="AQ250" s="2">
        <f t="shared" ref="AQ250:AS250" si="3401">_xlfn.RANK.EQ(AP250, AP$7:AP$375,0)</f>
        <v>132</v>
      </c>
      <c r="AR250" s="2">
        <v>40</v>
      </c>
      <c r="AS250" s="2">
        <f t="shared" si="3401"/>
        <v>237</v>
      </c>
      <c r="AT250" s="2">
        <v>18</v>
      </c>
      <c r="AU250" s="2">
        <f t="shared" ref="AU250:AW250" si="3402">_xlfn.RANK.EQ(AT250, AT$7:AT$375,0)</f>
        <v>262</v>
      </c>
      <c r="AV250" s="2">
        <v>15</v>
      </c>
      <c r="AW250" s="2">
        <f t="shared" si="3402"/>
        <v>238</v>
      </c>
      <c r="AX250" s="2">
        <v>15</v>
      </c>
      <c r="AY250" s="2">
        <f t="shared" ref="AY250:BA250" si="3403">_xlfn.RANK.EQ(AX250, AX$7:AX$375,0)</f>
        <v>78</v>
      </c>
      <c r="AZ250" s="2">
        <v>2</v>
      </c>
      <c r="BA250" s="2">
        <f t="shared" si="3403"/>
        <v>285</v>
      </c>
      <c r="BB250" s="2">
        <v>45</v>
      </c>
      <c r="BC250" s="2">
        <f t="shared" ref="BC250:BE250" si="3404">_xlfn.RANK.EQ(BB250, BB$7:BB$375,0)</f>
        <v>276</v>
      </c>
      <c r="BD250" s="2">
        <v>41</v>
      </c>
      <c r="BE250" s="2">
        <f t="shared" si="3404"/>
        <v>198</v>
      </c>
      <c r="BF250" s="2">
        <v>250</v>
      </c>
      <c r="BG250" s="2">
        <f t="shared" ref="BG250:BI250" si="3405">_xlfn.RANK.EQ(BF250, BF$7:BF$375,0)</f>
        <v>164</v>
      </c>
      <c r="BH250" s="2">
        <v>119</v>
      </c>
      <c r="BI250" s="2">
        <f t="shared" si="3405"/>
        <v>79</v>
      </c>
    </row>
    <row r="251" spans="1:61" x14ac:dyDescent="0.55000000000000004">
      <c r="A251" s="2">
        <v>245</v>
      </c>
      <c r="B251" s="2" t="s">
        <v>301</v>
      </c>
      <c r="C251" s="2" t="s">
        <v>57</v>
      </c>
      <c r="D251" s="2">
        <v>20</v>
      </c>
      <c r="E251" s="2">
        <f t="shared" si="2691"/>
        <v>323</v>
      </c>
      <c r="F251" s="2">
        <v>9</v>
      </c>
      <c r="G251" s="2">
        <f t="shared" ref="G251:I251" si="3406">_xlfn.RANK.EQ(F251, F$7:F$375,0)</f>
        <v>206</v>
      </c>
      <c r="H251" s="3">
        <v>15.918749999999999</v>
      </c>
      <c r="I251" s="2">
        <f t="shared" si="3406"/>
        <v>272</v>
      </c>
      <c r="J251" s="5">
        <v>0.79583333333333328</v>
      </c>
      <c r="K251" s="2">
        <f t="shared" ref="K251:M251" si="3407">_xlfn.RANK.EQ(J251, J$7:J$375,0)</f>
        <v>163</v>
      </c>
      <c r="L251" s="2">
        <v>137</v>
      </c>
      <c r="M251" s="2">
        <f t="shared" si="3407"/>
        <v>245</v>
      </c>
      <c r="N251" s="2">
        <v>50</v>
      </c>
      <c r="O251" s="2">
        <f t="shared" ref="O251:Q251" si="3408">_xlfn.RANK.EQ(N251, N$7:N$375,0)</f>
        <v>246</v>
      </c>
      <c r="P251" s="2">
        <v>120</v>
      </c>
      <c r="Q251" s="2">
        <f t="shared" si="3408"/>
        <v>248</v>
      </c>
      <c r="R251" s="4">
        <v>0.41699999999999998</v>
      </c>
      <c r="S251" s="2">
        <f t="shared" ref="S251:U251" si="3409">_xlfn.RANK.EQ(R251, R$7:R$375,0)</f>
        <v>168</v>
      </c>
      <c r="T251" s="2">
        <v>30</v>
      </c>
      <c r="U251" s="2">
        <f t="shared" si="3409"/>
        <v>228</v>
      </c>
      <c r="V251" s="2">
        <v>62</v>
      </c>
      <c r="W251" s="2">
        <f t="shared" ref="W251:Y251" si="3410">_xlfn.RANK.EQ(V251, V$7:V$375,0)</f>
        <v>229</v>
      </c>
      <c r="X251" s="4">
        <v>0.48399999999999999</v>
      </c>
      <c r="Y251" s="2">
        <f t="shared" si="3410"/>
        <v>203</v>
      </c>
      <c r="Z251" s="2">
        <v>20</v>
      </c>
      <c r="AA251" s="2">
        <f t="shared" ref="AA251:AC251" si="3411">_xlfn.RANK.EQ(Z251, Z$7:Z$375,0)</f>
        <v>208</v>
      </c>
      <c r="AB251" s="2">
        <v>58</v>
      </c>
      <c r="AC251" s="2">
        <f t="shared" si="3411"/>
        <v>222</v>
      </c>
      <c r="AD251" s="4">
        <v>0.34499999999999997</v>
      </c>
      <c r="AE251" s="2">
        <f t="shared" ref="AE251:AG251" si="3412">_xlfn.RANK.EQ(AD251, AD$7:AD$375,0)</f>
        <v>121</v>
      </c>
      <c r="AF251" s="2">
        <v>17</v>
      </c>
      <c r="AG251" s="2">
        <f t="shared" si="3412"/>
        <v>229</v>
      </c>
      <c r="AH251" s="2">
        <v>18</v>
      </c>
      <c r="AI251" s="2">
        <f t="shared" ref="AI251:AK251" si="3413">_xlfn.RANK.EQ(AH251, AH$7:AH$375,0)</f>
        <v>253</v>
      </c>
      <c r="AJ251" s="4">
        <v>0.94399999999999995</v>
      </c>
      <c r="AK251" s="2">
        <f t="shared" si="3413"/>
        <v>11</v>
      </c>
      <c r="AL251" s="2">
        <v>3</v>
      </c>
      <c r="AM251" s="2">
        <f t="shared" ref="AM251:AO251" si="3414">_xlfn.RANK.EQ(AL251, AL$7:AL$375,0)</f>
        <v>319</v>
      </c>
      <c r="AN251" s="2">
        <v>22</v>
      </c>
      <c r="AO251" s="2">
        <f t="shared" si="3414"/>
        <v>281</v>
      </c>
      <c r="AP251" s="2">
        <v>25</v>
      </c>
      <c r="AQ251" s="2">
        <f t="shared" ref="AQ251:AS251" si="3415">_xlfn.RANK.EQ(AP251, AP$7:AP$375,0)</f>
        <v>296</v>
      </c>
      <c r="AR251" s="2">
        <v>58</v>
      </c>
      <c r="AS251" s="2">
        <f t="shared" si="3415"/>
        <v>204</v>
      </c>
      <c r="AT251" s="2">
        <v>28</v>
      </c>
      <c r="AU251" s="2">
        <f t="shared" ref="AU251:AW251" si="3416">_xlfn.RANK.EQ(AT251, AT$7:AT$375,0)</f>
        <v>215</v>
      </c>
      <c r="AV251" s="2">
        <v>13</v>
      </c>
      <c r="AW251" s="2">
        <f t="shared" si="3416"/>
        <v>252</v>
      </c>
      <c r="AX251" s="2">
        <v>0</v>
      </c>
      <c r="AY251" s="2">
        <f t="shared" ref="AY251:BA251" si="3417">_xlfn.RANK.EQ(AX251, AX$7:AX$375,0)</f>
        <v>298</v>
      </c>
      <c r="AZ251" s="2">
        <v>4</v>
      </c>
      <c r="BA251" s="2">
        <f t="shared" si="3417"/>
        <v>246</v>
      </c>
      <c r="BB251" s="2">
        <v>33</v>
      </c>
      <c r="BC251" s="2">
        <f t="shared" ref="BC251:BE251" si="3418">_xlfn.RANK.EQ(BB251, BB$7:BB$375,0)</f>
        <v>295</v>
      </c>
      <c r="BD251" s="2">
        <v>33</v>
      </c>
      <c r="BE251" s="2">
        <f t="shared" si="3418"/>
        <v>223</v>
      </c>
      <c r="BF251" s="2">
        <v>130</v>
      </c>
      <c r="BG251" s="2">
        <f t="shared" ref="BG251:BI251" si="3419">_xlfn.RANK.EQ(BF251, BF$7:BF$375,0)</f>
        <v>222</v>
      </c>
      <c r="BH251" s="2">
        <v>-84</v>
      </c>
      <c r="BI251" s="2">
        <f t="shared" si="3419"/>
        <v>267</v>
      </c>
    </row>
    <row r="252" spans="1:61" x14ac:dyDescent="0.55000000000000004">
      <c r="A252" s="2">
        <v>245</v>
      </c>
      <c r="B252" s="2" t="s">
        <v>302</v>
      </c>
      <c r="C252" s="2" t="s">
        <v>36</v>
      </c>
      <c r="D252" s="2">
        <v>16</v>
      </c>
      <c r="E252" s="2">
        <f t="shared" si="2691"/>
        <v>335</v>
      </c>
      <c r="F252" s="2">
        <v>2</v>
      </c>
      <c r="G252" s="2">
        <f t="shared" ref="G252:I252" si="3420">_xlfn.RANK.EQ(F252, F$7:F$375,0)</f>
        <v>256</v>
      </c>
      <c r="H252" s="3">
        <v>13.647222222222222</v>
      </c>
      <c r="I252" s="2">
        <f t="shared" si="3420"/>
        <v>280</v>
      </c>
      <c r="J252" s="5">
        <v>0.85277777777777775</v>
      </c>
      <c r="K252" s="2">
        <f t="shared" ref="K252:M252" si="3421">_xlfn.RANK.EQ(J252, J$7:J$375,0)</f>
        <v>147</v>
      </c>
      <c r="L252" s="2">
        <v>137</v>
      </c>
      <c r="M252" s="2">
        <f t="shared" si="3421"/>
        <v>245</v>
      </c>
      <c r="N252" s="2">
        <v>53</v>
      </c>
      <c r="O252" s="2">
        <f t="shared" ref="O252:Q252" si="3422">_xlfn.RANK.EQ(N252, N$7:N$375,0)</f>
        <v>239</v>
      </c>
      <c r="P252" s="2">
        <v>103</v>
      </c>
      <c r="Q252" s="2">
        <f t="shared" si="3422"/>
        <v>261</v>
      </c>
      <c r="R252" s="4">
        <v>0.51500000000000001</v>
      </c>
      <c r="S252" s="2">
        <f t="shared" ref="S252:U252" si="3423">_xlfn.RANK.EQ(R252, R$7:R$375,0)</f>
        <v>60</v>
      </c>
      <c r="T252" s="2">
        <v>53</v>
      </c>
      <c r="U252" s="2">
        <f t="shared" si="3423"/>
        <v>167</v>
      </c>
      <c r="V252" s="2">
        <v>99</v>
      </c>
      <c r="W252" s="2">
        <f t="shared" ref="W252:Y252" si="3424">_xlfn.RANK.EQ(V252, V$7:V$375,0)</f>
        <v>177</v>
      </c>
      <c r="X252" s="4">
        <v>0.53500000000000003</v>
      </c>
      <c r="Y252" s="2">
        <f t="shared" si="3424"/>
        <v>132</v>
      </c>
      <c r="Z252" s="2">
        <v>0</v>
      </c>
      <c r="AA252" s="2">
        <f t="shared" ref="AA252:AC252" si="3425">_xlfn.RANK.EQ(Z252, Z$7:Z$375,0)</f>
        <v>329</v>
      </c>
      <c r="AB252" s="2">
        <v>4</v>
      </c>
      <c r="AC252" s="2">
        <f t="shared" si="3425"/>
        <v>323</v>
      </c>
      <c r="AD252" s="4">
        <v>0</v>
      </c>
      <c r="AE252" s="2">
        <f t="shared" ref="AE252:AG252" si="3426">_xlfn.RANK.EQ(AD252, AD$7:AD$375,0)</f>
        <v>329</v>
      </c>
      <c r="AF252" s="2">
        <v>31</v>
      </c>
      <c r="AG252" s="2">
        <f t="shared" si="3426"/>
        <v>164</v>
      </c>
      <c r="AH252" s="2">
        <v>62</v>
      </c>
      <c r="AI252" s="2">
        <f t="shared" ref="AI252:AK252" si="3427">_xlfn.RANK.EQ(AH252, AH$7:AH$375,0)</f>
        <v>140</v>
      </c>
      <c r="AJ252" s="4">
        <v>0.5</v>
      </c>
      <c r="AK252" s="2">
        <f t="shared" si="3427"/>
        <v>306</v>
      </c>
      <c r="AL252" s="2">
        <v>39</v>
      </c>
      <c r="AM252" s="2">
        <f t="shared" ref="AM252:AO252" si="3428">_xlfn.RANK.EQ(AL252, AL$7:AL$375,0)</f>
        <v>115</v>
      </c>
      <c r="AN252" s="2">
        <v>85</v>
      </c>
      <c r="AO252" s="2">
        <f t="shared" si="3428"/>
        <v>131</v>
      </c>
      <c r="AP252" s="2">
        <v>124</v>
      </c>
      <c r="AQ252" s="2">
        <f t="shared" ref="AQ252:AS252" si="3429">_xlfn.RANK.EQ(AP252, AP$7:AP$375,0)</f>
        <v>125</v>
      </c>
      <c r="AR252" s="2">
        <v>25</v>
      </c>
      <c r="AS252" s="2">
        <f t="shared" si="3429"/>
        <v>257</v>
      </c>
      <c r="AT252" s="2">
        <v>29</v>
      </c>
      <c r="AU252" s="2">
        <f t="shared" ref="AU252:AW252" si="3430">_xlfn.RANK.EQ(AT252, AT$7:AT$375,0)</f>
        <v>212</v>
      </c>
      <c r="AV252" s="2">
        <v>26</v>
      </c>
      <c r="AW252" s="2">
        <f t="shared" si="3430"/>
        <v>168</v>
      </c>
      <c r="AX252" s="2">
        <v>5</v>
      </c>
      <c r="AY252" s="2">
        <f t="shared" ref="AY252:BA252" si="3431">_xlfn.RANK.EQ(AX252, AX$7:AX$375,0)</f>
        <v>169</v>
      </c>
      <c r="AZ252" s="2">
        <v>7</v>
      </c>
      <c r="BA252" s="2">
        <f t="shared" si="3431"/>
        <v>195</v>
      </c>
      <c r="BB252" s="2">
        <v>43</v>
      </c>
      <c r="BC252" s="2">
        <f t="shared" ref="BC252:BE252" si="3432">_xlfn.RANK.EQ(BB252, BB$7:BB$375,0)</f>
        <v>282</v>
      </c>
      <c r="BD252" s="2">
        <v>46</v>
      </c>
      <c r="BE252" s="2">
        <f t="shared" si="3432"/>
        <v>182</v>
      </c>
      <c r="BF252" s="2">
        <v>203</v>
      </c>
      <c r="BG252" s="2">
        <f t="shared" ref="BG252:BI252" si="3433">_xlfn.RANK.EQ(BF252, BF$7:BF$375,0)</f>
        <v>186</v>
      </c>
      <c r="BH252" s="2">
        <v>6</v>
      </c>
      <c r="BI252" s="2">
        <f t="shared" si="3433"/>
        <v>135</v>
      </c>
    </row>
    <row r="253" spans="1:61" x14ac:dyDescent="0.55000000000000004">
      <c r="A253" s="2">
        <v>247</v>
      </c>
      <c r="B253" s="2" t="s">
        <v>303</v>
      </c>
      <c r="C253" s="2" t="s">
        <v>84</v>
      </c>
      <c r="D253" s="2">
        <v>45</v>
      </c>
      <c r="E253" s="2">
        <f t="shared" si="2691"/>
        <v>217</v>
      </c>
      <c r="F253" s="2">
        <v>14</v>
      </c>
      <c r="G253" s="2">
        <f t="shared" ref="G253:I253" si="3434">_xlfn.RANK.EQ(F253, F$7:F$375,0)</f>
        <v>182</v>
      </c>
      <c r="H253" s="3">
        <v>20.401388888888889</v>
      </c>
      <c r="I253" s="2">
        <f t="shared" si="3434"/>
        <v>252</v>
      </c>
      <c r="J253" s="5">
        <v>0.45277777777777778</v>
      </c>
      <c r="K253" s="2">
        <f t="shared" ref="K253:M253" si="3435">_xlfn.RANK.EQ(J253, J$7:J$375,0)</f>
        <v>263</v>
      </c>
      <c r="L253" s="2">
        <v>136</v>
      </c>
      <c r="M253" s="2">
        <f t="shared" si="3435"/>
        <v>247</v>
      </c>
      <c r="N253" s="2">
        <v>57</v>
      </c>
      <c r="O253" s="2">
        <f t="shared" ref="O253:Q253" si="3436">_xlfn.RANK.EQ(N253, N$7:N$375,0)</f>
        <v>222</v>
      </c>
      <c r="P253" s="2">
        <v>116</v>
      </c>
      <c r="Q253" s="2">
        <f t="shared" si="3436"/>
        <v>251</v>
      </c>
      <c r="R253" s="4">
        <v>0.49099999999999999</v>
      </c>
      <c r="S253" s="2">
        <f t="shared" ref="S253:U253" si="3437">_xlfn.RANK.EQ(R253, R$7:R$375,0)</f>
        <v>77</v>
      </c>
      <c r="T253" s="2">
        <v>50</v>
      </c>
      <c r="U253" s="2">
        <f t="shared" si="3437"/>
        <v>172</v>
      </c>
      <c r="V253" s="2">
        <v>94</v>
      </c>
      <c r="W253" s="2">
        <f t="shared" ref="W253:Y253" si="3438">_xlfn.RANK.EQ(V253, V$7:V$375,0)</f>
        <v>182</v>
      </c>
      <c r="X253" s="4">
        <v>0.53200000000000003</v>
      </c>
      <c r="Y253" s="2">
        <f t="shared" si="3438"/>
        <v>138</v>
      </c>
      <c r="Z253" s="2">
        <v>7</v>
      </c>
      <c r="AA253" s="2">
        <f t="shared" ref="AA253:AC253" si="3439">_xlfn.RANK.EQ(Z253, Z$7:Z$375,0)</f>
        <v>269</v>
      </c>
      <c r="AB253" s="2">
        <v>22</v>
      </c>
      <c r="AC253" s="2">
        <f t="shared" si="3439"/>
        <v>282</v>
      </c>
      <c r="AD253" s="4">
        <v>0.318</v>
      </c>
      <c r="AE253" s="2">
        <f t="shared" ref="AE253:AG253" si="3440">_xlfn.RANK.EQ(AD253, AD$7:AD$375,0)</f>
        <v>185</v>
      </c>
      <c r="AF253" s="2">
        <v>15</v>
      </c>
      <c r="AG253" s="2">
        <f t="shared" si="3440"/>
        <v>237</v>
      </c>
      <c r="AH253" s="2">
        <v>28</v>
      </c>
      <c r="AI253" s="2">
        <f t="shared" ref="AI253:AK253" si="3441">_xlfn.RANK.EQ(AH253, AH$7:AH$375,0)</f>
        <v>216</v>
      </c>
      <c r="AJ253" s="4">
        <v>0.53600000000000003</v>
      </c>
      <c r="AK253" s="2">
        <f t="shared" si="3441"/>
        <v>297</v>
      </c>
      <c r="AL253" s="2">
        <v>30</v>
      </c>
      <c r="AM253" s="2">
        <f t="shared" ref="AM253:AO253" si="3442">_xlfn.RANK.EQ(AL253, AL$7:AL$375,0)</f>
        <v>151</v>
      </c>
      <c r="AN253" s="2">
        <v>49</v>
      </c>
      <c r="AO253" s="2">
        <f t="shared" si="3442"/>
        <v>199</v>
      </c>
      <c r="AP253" s="2">
        <v>79</v>
      </c>
      <c r="AQ253" s="2">
        <f t="shared" ref="AQ253:AS253" si="3443">_xlfn.RANK.EQ(AP253, AP$7:AP$375,0)</f>
        <v>190</v>
      </c>
      <c r="AR253" s="2">
        <v>17</v>
      </c>
      <c r="AS253" s="2">
        <f t="shared" si="3443"/>
        <v>289</v>
      </c>
      <c r="AT253" s="2">
        <v>25</v>
      </c>
      <c r="AU253" s="2">
        <f t="shared" ref="AU253:AW253" si="3444">_xlfn.RANK.EQ(AT253, AT$7:AT$375,0)</f>
        <v>231</v>
      </c>
      <c r="AV253" s="2">
        <v>15</v>
      </c>
      <c r="AW253" s="2">
        <f t="shared" si="3444"/>
        <v>238</v>
      </c>
      <c r="AX253" s="2">
        <v>7</v>
      </c>
      <c r="AY253" s="2">
        <f t="shared" ref="AY253:BA253" si="3445">_xlfn.RANK.EQ(AX253, AX$7:AX$375,0)</f>
        <v>138</v>
      </c>
      <c r="AZ253" s="2">
        <v>10</v>
      </c>
      <c r="BA253" s="2">
        <f t="shared" si="3445"/>
        <v>144</v>
      </c>
      <c r="BB253" s="2">
        <v>106</v>
      </c>
      <c r="BC253" s="2">
        <f t="shared" ref="BC253:BE253" si="3446">_xlfn.RANK.EQ(BB253, BB$7:BB$375,0)</f>
        <v>120</v>
      </c>
      <c r="BD253" s="2">
        <v>37</v>
      </c>
      <c r="BE253" s="2">
        <f t="shared" si="3446"/>
        <v>213</v>
      </c>
      <c r="BF253" s="2">
        <v>77</v>
      </c>
      <c r="BG253" s="2">
        <f t="shared" ref="BG253:BI253" si="3447">_xlfn.RANK.EQ(BF253, BF$7:BF$375,0)</f>
        <v>254</v>
      </c>
      <c r="BH253" s="2">
        <v>-119</v>
      </c>
      <c r="BI253" s="2">
        <f t="shared" si="3447"/>
        <v>299</v>
      </c>
    </row>
    <row r="254" spans="1:61" x14ac:dyDescent="0.55000000000000004">
      <c r="A254" s="2">
        <v>248</v>
      </c>
      <c r="B254" s="2" t="s">
        <v>304</v>
      </c>
      <c r="C254" s="2" t="s">
        <v>84</v>
      </c>
      <c r="D254" s="2">
        <v>21</v>
      </c>
      <c r="E254" s="2">
        <f t="shared" si="2691"/>
        <v>314</v>
      </c>
      <c r="F254" s="2">
        <v>7</v>
      </c>
      <c r="G254" s="2">
        <f t="shared" ref="G254:I254" si="3448">_xlfn.RANK.EQ(F254, F$7:F$375,0)</f>
        <v>218</v>
      </c>
      <c r="H254" s="3">
        <v>20.181249999999999</v>
      </c>
      <c r="I254" s="2">
        <f t="shared" si="3448"/>
        <v>257</v>
      </c>
      <c r="J254" s="5">
        <v>0.9604166666666667</v>
      </c>
      <c r="K254" s="2">
        <f t="shared" ref="K254:M254" si="3449">_xlfn.RANK.EQ(J254, J$7:J$375,0)</f>
        <v>105</v>
      </c>
      <c r="L254" s="2">
        <v>135</v>
      </c>
      <c r="M254" s="2">
        <f t="shared" si="3449"/>
        <v>248</v>
      </c>
      <c r="N254" s="2">
        <v>51</v>
      </c>
      <c r="O254" s="2">
        <f t="shared" ref="O254:Q254" si="3450">_xlfn.RANK.EQ(N254, N$7:N$375,0)</f>
        <v>243</v>
      </c>
      <c r="P254" s="2">
        <v>119</v>
      </c>
      <c r="Q254" s="2">
        <f t="shared" si="3450"/>
        <v>249</v>
      </c>
      <c r="R254" s="4">
        <v>0.42899999999999999</v>
      </c>
      <c r="S254" s="2">
        <f t="shared" ref="S254:U254" si="3451">_xlfn.RANK.EQ(R254, R$7:R$375,0)</f>
        <v>150</v>
      </c>
      <c r="T254" s="2">
        <v>32</v>
      </c>
      <c r="U254" s="2">
        <f t="shared" si="3451"/>
        <v>222</v>
      </c>
      <c r="V254" s="2">
        <v>64</v>
      </c>
      <c r="W254" s="2">
        <f t="shared" ref="W254:Y254" si="3452">_xlfn.RANK.EQ(V254, V$7:V$375,0)</f>
        <v>225</v>
      </c>
      <c r="X254" s="4">
        <v>0.5</v>
      </c>
      <c r="Y254" s="2">
        <f t="shared" si="3452"/>
        <v>175</v>
      </c>
      <c r="Z254" s="2">
        <v>19</v>
      </c>
      <c r="AA254" s="2">
        <f t="shared" ref="AA254:AC254" si="3453">_xlfn.RANK.EQ(Z254, Z$7:Z$375,0)</f>
        <v>213</v>
      </c>
      <c r="AB254" s="2">
        <v>55</v>
      </c>
      <c r="AC254" s="2">
        <f t="shared" si="3453"/>
        <v>229</v>
      </c>
      <c r="AD254" s="4">
        <v>0.34499999999999997</v>
      </c>
      <c r="AE254" s="2">
        <f t="shared" ref="AE254:AG254" si="3454">_xlfn.RANK.EQ(AD254, AD$7:AD$375,0)</f>
        <v>121</v>
      </c>
      <c r="AF254" s="2">
        <v>14</v>
      </c>
      <c r="AG254" s="2">
        <f t="shared" si="3454"/>
        <v>244</v>
      </c>
      <c r="AH254" s="2">
        <v>18</v>
      </c>
      <c r="AI254" s="2">
        <f t="shared" ref="AI254:AK254" si="3455">_xlfn.RANK.EQ(AH254, AH$7:AH$375,0)</f>
        <v>253</v>
      </c>
      <c r="AJ254" s="4">
        <v>0.77800000000000002</v>
      </c>
      <c r="AK254" s="2">
        <f t="shared" si="3455"/>
        <v>112</v>
      </c>
      <c r="AL254" s="2">
        <v>18</v>
      </c>
      <c r="AM254" s="2">
        <f t="shared" ref="AM254:AO254" si="3456">_xlfn.RANK.EQ(AL254, AL$7:AL$375,0)</f>
        <v>215</v>
      </c>
      <c r="AN254" s="2">
        <v>38</v>
      </c>
      <c r="AO254" s="2">
        <f t="shared" si="3456"/>
        <v>231</v>
      </c>
      <c r="AP254" s="2">
        <v>56</v>
      </c>
      <c r="AQ254" s="2">
        <f t="shared" ref="AQ254:AS254" si="3457">_xlfn.RANK.EQ(AP254, AP$7:AP$375,0)</f>
        <v>230</v>
      </c>
      <c r="AR254" s="2">
        <v>67</v>
      </c>
      <c r="AS254" s="2">
        <f t="shared" si="3457"/>
        <v>183</v>
      </c>
      <c r="AT254" s="2">
        <v>35</v>
      </c>
      <c r="AU254" s="2">
        <f t="shared" ref="AU254:AW254" si="3458">_xlfn.RANK.EQ(AT254, AT$7:AT$375,0)</f>
        <v>193</v>
      </c>
      <c r="AV254" s="2">
        <v>14</v>
      </c>
      <c r="AW254" s="2">
        <f t="shared" si="3458"/>
        <v>246</v>
      </c>
      <c r="AX254" s="2">
        <v>7</v>
      </c>
      <c r="AY254" s="2">
        <f t="shared" ref="AY254:BA254" si="3459">_xlfn.RANK.EQ(AX254, AX$7:AX$375,0)</f>
        <v>138</v>
      </c>
      <c r="AZ254" s="2">
        <v>4</v>
      </c>
      <c r="BA254" s="2">
        <f t="shared" si="3459"/>
        <v>246</v>
      </c>
      <c r="BB254" s="2">
        <v>58</v>
      </c>
      <c r="BC254" s="2">
        <f t="shared" ref="BC254:BE254" si="3460">_xlfn.RANK.EQ(BB254, BB$7:BB$375,0)</f>
        <v>249</v>
      </c>
      <c r="BD254" s="2">
        <v>33</v>
      </c>
      <c r="BE254" s="2">
        <f t="shared" si="3460"/>
        <v>223</v>
      </c>
      <c r="BF254" s="2">
        <v>143</v>
      </c>
      <c r="BG254" s="2">
        <f t="shared" ref="BG254:BI254" si="3461">_xlfn.RANK.EQ(BF254, BF$7:BF$375,0)</f>
        <v>210</v>
      </c>
      <c r="BH254" s="2">
        <v>-114</v>
      </c>
      <c r="BI254" s="2">
        <f t="shared" si="3461"/>
        <v>293</v>
      </c>
    </row>
    <row r="255" spans="1:61" x14ac:dyDescent="0.55000000000000004">
      <c r="A255" s="2">
        <v>249</v>
      </c>
      <c r="B255" s="2" t="s">
        <v>305</v>
      </c>
      <c r="C255" s="2" t="s">
        <v>54</v>
      </c>
      <c r="D255" s="2">
        <v>53</v>
      </c>
      <c r="E255" s="2">
        <f t="shared" si="2691"/>
        <v>166</v>
      </c>
      <c r="F255" s="2">
        <v>0</v>
      </c>
      <c r="G255" s="2">
        <f t="shared" ref="G255:I255" si="3462">_xlfn.RANK.EQ(F255, F$7:F$375,0)</f>
        <v>291</v>
      </c>
      <c r="H255" s="3">
        <v>29.838194444444444</v>
      </c>
      <c r="I255" s="2">
        <f t="shared" si="3462"/>
        <v>205</v>
      </c>
      <c r="J255" s="5">
        <v>0.5625</v>
      </c>
      <c r="K255" s="2">
        <f t="shared" ref="K255:M255" si="3463">_xlfn.RANK.EQ(J255, J$7:J$375,0)</f>
        <v>238</v>
      </c>
      <c r="L255" s="2">
        <v>132</v>
      </c>
      <c r="M255" s="2">
        <f t="shared" si="3463"/>
        <v>249</v>
      </c>
      <c r="N255" s="2">
        <v>54</v>
      </c>
      <c r="O255" s="2">
        <f t="shared" ref="O255:Q255" si="3464">_xlfn.RANK.EQ(N255, N$7:N$375,0)</f>
        <v>236</v>
      </c>
      <c r="P255" s="2">
        <v>92</v>
      </c>
      <c r="Q255" s="2">
        <f t="shared" si="3464"/>
        <v>269</v>
      </c>
      <c r="R255" s="4">
        <v>0.58699999999999997</v>
      </c>
      <c r="S255" s="2">
        <f t="shared" ref="S255:U255" si="3465">_xlfn.RANK.EQ(R255, R$7:R$375,0)</f>
        <v>23</v>
      </c>
      <c r="T255" s="2">
        <v>51</v>
      </c>
      <c r="U255" s="2">
        <f t="shared" si="3465"/>
        <v>170</v>
      </c>
      <c r="V255" s="2">
        <v>83</v>
      </c>
      <c r="W255" s="2">
        <f t="shared" ref="W255:Y255" si="3466">_xlfn.RANK.EQ(V255, V$7:V$375,0)</f>
        <v>201</v>
      </c>
      <c r="X255" s="4">
        <v>0.61399999999999999</v>
      </c>
      <c r="Y255" s="2">
        <f t="shared" si="3466"/>
        <v>46</v>
      </c>
      <c r="Z255" s="2">
        <v>3</v>
      </c>
      <c r="AA255" s="2">
        <f t="shared" ref="AA255:AC255" si="3467">_xlfn.RANK.EQ(Z255, Z$7:Z$375,0)</f>
        <v>293</v>
      </c>
      <c r="AB255" s="2">
        <v>9</v>
      </c>
      <c r="AC255" s="2">
        <f t="shared" si="3467"/>
        <v>310</v>
      </c>
      <c r="AD255" s="4">
        <v>0.33300000000000002</v>
      </c>
      <c r="AE255" s="2">
        <f t="shared" ref="AE255:AG255" si="3468">_xlfn.RANK.EQ(AD255, AD$7:AD$375,0)</f>
        <v>149</v>
      </c>
      <c r="AF255" s="2">
        <v>21</v>
      </c>
      <c r="AG255" s="2">
        <f t="shared" si="3468"/>
        <v>206</v>
      </c>
      <c r="AH255" s="2">
        <v>29</v>
      </c>
      <c r="AI255" s="2">
        <f t="shared" ref="AI255:AK255" si="3469">_xlfn.RANK.EQ(AH255, AH$7:AH$375,0)</f>
        <v>213</v>
      </c>
      <c r="AJ255" s="4">
        <v>0.72399999999999998</v>
      </c>
      <c r="AK255" s="2">
        <f t="shared" si="3469"/>
        <v>181</v>
      </c>
      <c r="AL255" s="2">
        <v>39</v>
      </c>
      <c r="AM255" s="2">
        <f t="shared" ref="AM255:AO255" si="3470">_xlfn.RANK.EQ(AL255, AL$7:AL$375,0)</f>
        <v>115</v>
      </c>
      <c r="AN255" s="2">
        <v>72</v>
      </c>
      <c r="AO255" s="2">
        <f t="shared" si="3470"/>
        <v>157</v>
      </c>
      <c r="AP255" s="2">
        <v>111</v>
      </c>
      <c r="AQ255" s="2">
        <f t="shared" ref="AQ255:AS255" si="3471">_xlfn.RANK.EQ(AP255, AP$7:AP$375,0)</f>
        <v>142</v>
      </c>
      <c r="AR255" s="2">
        <v>23</v>
      </c>
      <c r="AS255" s="2">
        <f t="shared" si="3471"/>
        <v>266</v>
      </c>
      <c r="AT255" s="2">
        <v>15</v>
      </c>
      <c r="AU255" s="2">
        <f t="shared" ref="AU255:AW255" si="3472">_xlfn.RANK.EQ(AT255, AT$7:AT$375,0)</f>
        <v>284</v>
      </c>
      <c r="AV255" s="2">
        <v>13</v>
      </c>
      <c r="AW255" s="2">
        <f t="shared" si="3472"/>
        <v>252</v>
      </c>
      <c r="AX255" s="2">
        <v>5</v>
      </c>
      <c r="AY255" s="2">
        <f t="shared" ref="AY255:BA255" si="3473">_xlfn.RANK.EQ(AX255, AX$7:AX$375,0)</f>
        <v>169</v>
      </c>
      <c r="AZ255" s="2">
        <v>9</v>
      </c>
      <c r="BA255" s="2">
        <f t="shared" si="3473"/>
        <v>160</v>
      </c>
      <c r="BB255" s="2">
        <v>41</v>
      </c>
      <c r="BC255" s="2">
        <f t="shared" ref="BC255:BE255" si="3474">_xlfn.RANK.EQ(BB255, BB$7:BB$375,0)</f>
        <v>283</v>
      </c>
      <c r="BD255" s="2">
        <v>33</v>
      </c>
      <c r="BE255" s="2">
        <f t="shared" si="3474"/>
        <v>223</v>
      </c>
      <c r="BF255" s="2">
        <v>206</v>
      </c>
      <c r="BG255" s="2">
        <f t="shared" ref="BG255:BI255" si="3475">_xlfn.RANK.EQ(BF255, BF$7:BF$375,0)</f>
        <v>182</v>
      </c>
      <c r="BH255" s="2">
        <v>60</v>
      </c>
      <c r="BI255" s="2">
        <f t="shared" si="3475"/>
        <v>97</v>
      </c>
    </row>
    <row r="256" spans="1:61" x14ac:dyDescent="0.55000000000000004">
      <c r="A256" s="2">
        <v>249</v>
      </c>
      <c r="B256" s="2" t="s">
        <v>306</v>
      </c>
      <c r="C256" s="2" t="s">
        <v>40</v>
      </c>
      <c r="D256" s="2">
        <v>51</v>
      </c>
      <c r="E256" s="2">
        <f t="shared" si="2691"/>
        <v>183</v>
      </c>
      <c r="F256" s="2">
        <v>6</v>
      </c>
      <c r="G256" s="2">
        <f t="shared" ref="G256:I256" si="3476">_xlfn.RANK.EQ(F256, F$7:F$375,0)</f>
        <v>228</v>
      </c>
      <c r="H256" s="3">
        <v>24.090277777777779</v>
      </c>
      <c r="I256" s="2">
        <f t="shared" si="3476"/>
        <v>231</v>
      </c>
      <c r="J256" s="5">
        <v>0.47222222222222221</v>
      </c>
      <c r="K256" s="2">
        <f t="shared" ref="K256:M256" si="3477">_xlfn.RANK.EQ(J256, J$7:J$375,0)</f>
        <v>258</v>
      </c>
      <c r="L256" s="2">
        <v>132</v>
      </c>
      <c r="M256" s="2">
        <f t="shared" si="3477"/>
        <v>249</v>
      </c>
      <c r="N256" s="2">
        <v>42</v>
      </c>
      <c r="O256" s="2">
        <f t="shared" ref="O256:Q256" si="3478">_xlfn.RANK.EQ(N256, N$7:N$375,0)</f>
        <v>258</v>
      </c>
      <c r="P256" s="2">
        <v>141</v>
      </c>
      <c r="Q256" s="2">
        <f t="shared" si="3478"/>
        <v>232</v>
      </c>
      <c r="R256" s="4">
        <v>0.29799999999999999</v>
      </c>
      <c r="S256" s="2">
        <f t="shared" ref="S256:U256" si="3479">_xlfn.RANK.EQ(R256, R$7:R$375,0)</f>
        <v>334</v>
      </c>
      <c r="T256" s="2">
        <v>7</v>
      </c>
      <c r="U256" s="2">
        <f t="shared" si="3479"/>
        <v>305</v>
      </c>
      <c r="V256" s="2">
        <v>16</v>
      </c>
      <c r="W256" s="2">
        <f t="shared" ref="W256:Y256" si="3480">_xlfn.RANK.EQ(V256, V$7:V$375,0)</f>
        <v>309</v>
      </c>
      <c r="X256" s="4">
        <v>0.438</v>
      </c>
      <c r="Y256" s="2">
        <f t="shared" si="3480"/>
        <v>256</v>
      </c>
      <c r="Z256" s="2">
        <v>35</v>
      </c>
      <c r="AA256" s="2">
        <f t="shared" ref="AA256:AC256" si="3481">_xlfn.RANK.EQ(Z256, Z$7:Z$375,0)</f>
        <v>157</v>
      </c>
      <c r="AB256" s="2">
        <v>125</v>
      </c>
      <c r="AC256" s="2">
        <f t="shared" si="3481"/>
        <v>147</v>
      </c>
      <c r="AD256" s="4">
        <v>0.28000000000000003</v>
      </c>
      <c r="AE256" s="2">
        <f t="shared" ref="AE256:AG256" si="3482">_xlfn.RANK.EQ(AD256, AD$7:AD$375,0)</f>
        <v>244</v>
      </c>
      <c r="AF256" s="2">
        <v>13</v>
      </c>
      <c r="AG256" s="2">
        <f t="shared" si="3482"/>
        <v>248</v>
      </c>
      <c r="AH256" s="2">
        <v>14</v>
      </c>
      <c r="AI256" s="2">
        <f t="shared" ref="AI256:AK256" si="3483">_xlfn.RANK.EQ(AH256, AH$7:AH$375,0)</f>
        <v>271</v>
      </c>
      <c r="AJ256" s="4">
        <v>0.92900000000000005</v>
      </c>
      <c r="AK256" s="2">
        <f t="shared" si="3483"/>
        <v>13</v>
      </c>
      <c r="AL256" s="2">
        <v>30</v>
      </c>
      <c r="AM256" s="2">
        <f t="shared" ref="AM256:AO256" si="3484">_xlfn.RANK.EQ(AL256, AL$7:AL$375,0)</f>
        <v>151</v>
      </c>
      <c r="AN256" s="2">
        <v>44</v>
      </c>
      <c r="AO256" s="2">
        <f t="shared" si="3484"/>
        <v>214</v>
      </c>
      <c r="AP256" s="2">
        <v>74</v>
      </c>
      <c r="AQ256" s="2">
        <f t="shared" ref="AQ256:AS256" si="3485">_xlfn.RANK.EQ(AP256, AP$7:AP$375,0)</f>
        <v>200</v>
      </c>
      <c r="AR256" s="2">
        <v>23</v>
      </c>
      <c r="AS256" s="2">
        <f t="shared" si="3485"/>
        <v>266</v>
      </c>
      <c r="AT256" s="2">
        <v>9</v>
      </c>
      <c r="AU256" s="2">
        <f t="shared" ref="AU256:AW256" si="3486">_xlfn.RANK.EQ(AT256, AT$7:AT$375,0)</f>
        <v>309</v>
      </c>
      <c r="AV256" s="2">
        <v>13</v>
      </c>
      <c r="AW256" s="2">
        <f t="shared" si="3486"/>
        <v>252</v>
      </c>
      <c r="AX256" s="2">
        <v>3</v>
      </c>
      <c r="AY256" s="2">
        <f t="shared" ref="AY256:BA256" si="3487">_xlfn.RANK.EQ(AX256, AX$7:AX$375,0)</f>
        <v>208</v>
      </c>
      <c r="AZ256" s="2">
        <v>3</v>
      </c>
      <c r="BA256" s="2">
        <f t="shared" si="3487"/>
        <v>267</v>
      </c>
      <c r="BB256" s="2">
        <v>70</v>
      </c>
      <c r="BC256" s="2">
        <f t="shared" ref="BC256:BE256" si="3488">_xlfn.RANK.EQ(BB256, BB$7:BB$375,0)</f>
        <v>215</v>
      </c>
      <c r="BD256" s="2">
        <v>9</v>
      </c>
      <c r="BE256" s="2">
        <f t="shared" si="3488"/>
        <v>304</v>
      </c>
      <c r="BF256" s="2">
        <v>72</v>
      </c>
      <c r="BG256" s="2">
        <f t="shared" ref="BG256:BI256" si="3489">_xlfn.RANK.EQ(BF256, BF$7:BF$375,0)</f>
        <v>262</v>
      </c>
      <c r="BH256" s="2">
        <v>-7</v>
      </c>
      <c r="BI256" s="2">
        <f t="shared" si="3489"/>
        <v>160</v>
      </c>
    </row>
    <row r="257" spans="1:61" x14ac:dyDescent="0.55000000000000004">
      <c r="A257" s="2">
        <v>249</v>
      </c>
      <c r="B257" s="2" t="s">
        <v>307</v>
      </c>
      <c r="C257" s="2" t="s">
        <v>34</v>
      </c>
      <c r="D257" s="2">
        <v>44</v>
      </c>
      <c r="E257" s="2">
        <f t="shared" si="2691"/>
        <v>224</v>
      </c>
      <c r="F257" s="2">
        <v>1</v>
      </c>
      <c r="G257" s="2">
        <f t="shared" ref="G257:I257" si="3490">_xlfn.RANK.EQ(F257, F$7:F$375,0)</f>
        <v>272</v>
      </c>
      <c r="H257" s="3">
        <v>11.879166666666666</v>
      </c>
      <c r="I257" s="2">
        <f t="shared" si="3490"/>
        <v>288</v>
      </c>
      <c r="J257" s="5">
        <v>0.26944444444444443</v>
      </c>
      <c r="K257" s="2">
        <f t="shared" ref="K257:M257" si="3491">_xlfn.RANK.EQ(J257, J$7:J$375,0)</f>
        <v>310</v>
      </c>
      <c r="L257" s="2">
        <v>132</v>
      </c>
      <c r="M257" s="2">
        <f t="shared" si="3491"/>
        <v>249</v>
      </c>
      <c r="N257" s="2">
        <v>47</v>
      </c>
      <c r="O257" s="2">
        <f t="shared" ref="O257:Q257" si="3492">_xlfn.RANK.EQ(N257, N$7:N$375,0)</f>
        <v>249</v>
      </c>
      <c r="P257" s="2">
        <v>78</v>
      </c>
      <c r="Q257" s="2">
        <f t="shared" si="3492"/>
        <v>279</v>
      </c>
      <c r="R257" s="4">
        <v>0.60299999999999998</v>
      </c>
      <c r="S257" s="2">
        <f t="shared" ref="S257:U257" si="3493">_xlfn.RANK.EQ(R257, R$7:R$375,0)</f>
        <v>17</v>
      </c>
      <c r="T257" s="2">
        <v>47</v>
      </c>
      <c r="U257" s="2">
        <f t="shared" si="3493"/>
        <v>183</v>
      </c>
      <c r="V257" s="2">
        <v>77</v>
      </c>
      <c r="W257" s="2">
        <f t="shared" ref="W257:Y257" si="3494">_xlfn.RANK.EQ(V257, V$7:V$375,0)</f>
        <v>211</v>
      </c>
      <c r="X257" s="4">
        <v>0.61</v>
      </c>
      <c r="Y257" s="2">
        <f t="shared" si="3494"/>
        <v>49</v>
      </c>
      <c r="Z257" s="2">
        <v>0</v>
      </c>
      <c r="AA257" s="2">
        <f t="shared" ref="AA257:AC257" si="3495">_xlfn.RANK.EQ(Z257, Z$7:Z$375,0)</f>
        <v>329</v>
      </c>
      <c r="AB257" s="2">
        <v>1</v>
      </c>
      <c r="AC257" s="2">
        <f t="shared" si="3495"/>
        <v>342</v>
      </c>
      <c r="AD257" s="4">
        <v>0</v>
      </c>
      <c r="AE257" s="2">
        <f t="shared" ref="AE257:AG257" si="3496">_xlfn.RANK.EQ(AD257, AD$7:AD$375,0)</f>
        <v>329</v>
      </c>
      <c r="AF257" s="2">
        <v>38</v>
      </c>
      <c r="AG257" s="2">
        <f t="shared" si="3496"/>
        <v>149</v>
      </c>
      <c r="AH257" s="2">
        <v>45</v>
      </c>
      <c r="AI257" s="2">
        <f t="shared" ref="AI257:AK257" si="3497">_xlfn.RANK.EQ(AH257, AH$7:AH$375,0)</f>
        <v>159</v>
      </c>
      <c r="AJ257" s="4">
        <v>0.84399999999999997</v>
      </c>
      <c r="AK257" s="2">
        <f t="shared" si="3497"/>
        <v>39</v>
      </c>
      <c r="AL257" s="2">
        <v>25</v>
      </c>
      <c r="AM257" s="2">
        <f t="shared" ref="AM257:AO257" si="3498">_xlfn.RANK.EQ(AL257, AL$7:AL$375,0)</f>
        <v>173</v>
      </c>
      <c r="AN257" s="2">
        <v>31</v>
      </c>
      <c r="AO257" s="2">
        <f t="shared" si="3498"/>
        <v>259</v>
      </c>
      <c r="AP257" s="2">
        <v>56</v>
      </c>
      <c r="AQ257" s="2">
        <f t="shared" ref="AQ257:AS257" si="3499">_xlfn.RANK.EQ(AP257, AP$7:AP$375,0)</f>
        <v>230</v>
      </c>
      <c r="AR257" s="2">
        <v>4</v>
      </c>
      <c r="AS257" s="2">
        <f t="shared" si="3499"/>
        <v>327</v>
      </c>
      <c r="AT257" s="2">
        <v>18</v>
      </c>
      <c r="AU257" s="2">
        <f t="shared" ref="AU257:AW257" si="3500">_xlfn.RANK.EQ(AT257, AT$7:AT$375,0)</f>
        <v>262</v>
      </c>
      <c r="AV257" s="2">
        <v>3</v>
      </c>
      <c r="AW257" s="2">
        <f t="shared" si="3500"/>
        <v>318</v>
      </c>
      <c r="AX257" s="2">
        <v>8</v>
      </c>
      <c r="AY257" s="2">
        <f t="shared" ref="AY257:BA257" si="3501">_xlfn.RANK.EQ(AX257, AX$7:AX$375,0)</f>
        <v>125</v>
      </c>
      <c r="AZ257" s="2">
        <v>9</v>
      </c>
      <c r="BA257" s="2">
        <f t="shared" si="3501"/>
        <v>160</v>
      </c>
      <c r="BB257" s="2">
        <v>51</v>
      </c>
      <c r="BC257" s="2">
        <f t="shared" ref="BC257:BE257" si="3502">_xlfn.RANK.EQ(BB257, BB$7:BB$375,0)</f>
        <v>262</v>
      </c>
      <c r="BD257" s="2">
        <v>42</v>
      </c>
      <c r="BE257" s="2">
        <f t="shared" si="3502"/>
        <v>194</v>
      </c>
      <c r="BF257" s="2">
        <v>129</v>
      </c>
      <c r="BG257" s="2">
        <f t="shared" ref="BG257:BI257" si="3503">_xlfn.RANK.EQ(BF257, BF$7:BF$375,0)</f>
        <v>223</v>
      </c>
      <c r="BH257" s="2">
        <v>-62</v>
      </c>
      <c r="BI257" s="2">
        <f t="shared" si="3503"/>
        <v>253</v>
      </c>
    </row>
    <row r="258" spans="1:61" x14ac:dyDescent="0.55000000000000004">
      <c r="A258" s="2">
        <v>252</v>
      </c>
      <c r="B258" s="2" t="s">
        <v>308</v>
      </c>
      <c r="C258" s="2" t="s">
        <v>84</v>
      </c>
      <c r="D258" s="2">
        <v>54</v>
      </c>
      <c r="E258" s="2">
        <f t="shared" si="2691"/>
        <v>155</v>
      </c>
      <c r="F258" s="2">
        <v>15</v>
      </c>
      <c r="G258" s="2">
        <f t="shared" ref="G258:I258" si="3504">_xlfn.RANK.EQ(F258, F$7:F$375,0)</f>
        <v>178</v>
      </c>
      <c r="H258" s="3">
        <v>29.900694444444444</v>
      </c>
      <c r="I258" s="2">
        <f t="shared" si="3504"/>
        <v>203</v>
      </c>
      <c r="J258" s="5">
        <v>0.55347222222222225</v>
      </c>
      <c r="K258" s="2">
        <f t="shared" ref="K258:M258" si="3505">_xlfn.RANK.EQ(J258, J$7:J$375,0)</f>
        <v>240</v>
      </c>
      <c r="L258" s="2">
        <v>130</v>
      </c>
      <c r="M258" s="2">
        <f t="shared" si="3505"/>
        <v>252</v>
      </c>
      <c r="N258" s="2">
        <v>45</v>
      </c>
      <c r="O258" s="2">
        <f t="shared" ref="O258:Q258" si="3506">_xlfn.RANK.EQ(N258, N$7:N$375,0)</f>
        <v>254</v>
      </c>
      <c r="P258" s="2">
        <v>132</v>
      </c>
      <c r="Q258" s="2">
        <f t="shared" si="3506"/>
        <v>239</v>
      </c>
      <c r="R258" s="4">
        <v>0.34100000000000003</v>
      </c>
      <c r="S258" s="2">
        <f t="shared" ref="S258:U258" si="3507">_xlfn.RANK.EQ(R258, R$7:R$375,0)</f>
        <v>292</v>
      </c>
      <c r="T258" s="2">
        <v>17</v>
      </c>
      <c r="U258" s="2">
        <f t="shared" si="3507"/>
        <v>270</v>
      </c>
      <c r="V258" s="2">
        <v>37</v>
      </c>
      <c r="W258" s="2">
        <f t="shared" ref="W258:Y258" si="3508">_xlfn.RANK.EQ(V258, V$7:V$375,0)</f>
        <v>274</v>
      </c>
      <c r="X258" s="4">
        <v>0.45900000000000002</v>
      </c>
      <c r="Y258" s="2">
        <f t="shared" si="3508"/>
        <v>233</v>
      </c>
      <c r="Z258" s="2">
        <v>28</v>
      </c>
      <c r="AA258" s="2">
        <f t="shared" ref="AA258:AC258" si="3509">_xlfn.RANK.EQ(Z258, Z$7:Z$375,0)</f>
        <v>182</v>
      </c>
      <c r="AB258" s="2">
        <v>95</v>
      </c>
      <c r="AC258" s="2">
        <f t="shared" si="3509"/>
        <v>176</v>
      </c>
      <c r="AD258" s="4">
        <v>0.29499999999999998</v>
      </c>
      <c r="AE258" s="2">
        <f t="shared" ref="AE258:AG258" si="3510">_xlfn.RANK.EQ(AD258, AD$7:AD$375,0)</f>
        <v>219</v>
      </c>
      <c r="AF258" s="2">
        <v>12</v>
      </c>
      <c r="AG258" s="2">
        <f t="shared" si="3510"/>
        <v>261</v>
      </c>
      <c r="AH258" s="2">
        <v>18</v>
      </c>
      <c r="AI258" s="2">
        <f t="shared" ref="AI258:AK258" si="3511">_xlfn.RANK.EQ(AH258, AH$7:AH$375,0)</f>
        <v>253</v>
      </c>
      <c r="AJ258" s="4">
        <v>0.66700000000000004</v>
      </c>
      <c r="AK258" s="2">
        <f t="shared" si="3511"/>
        <v>227</v>
      </c>
      <c r="AL258" s="2">
        <v>12</v>
      </c>
      <c r="AM258" s="2">
        <f t="shared" ref="AM258:AO258" si="3512">_xlfn.RANK.EQ(AL258, AL$7:AL$375,0)</f>
        <v>264</v>
      </c>
      <c r="AN258" s="2">
        <v>35</v>
      </c>
      <c r="AO258" s="2">
        <f t="shared" si="3512"/>
        <v>240</v>
      </c>
      <c r="AP258" s="2">
        <v>47</v>
      </c>
      <c r="AQ258" s="2">
        <f t="shared" ref="AQ258:AS258" si="3513">_xlfn.RANK.EQ(AP258, AP$7:AP$375,0)</f>
        <v>254</v>
      </c>
      <c r="AR258" s="2">
        <v>44</v>
      </c>
      <c r="AS258" s="2">
        <f t="shared" si="3513"/>
        <v>229</v>
      </c>
      <c r="AT258" s="2">
        <v>26</v>
      </c>
      <c r="AU258" s="2">
        <f t="shared" ref="AU258:AW258" si="3514">_xlfn.RANK.EQ(AT258, AT$7:AT$375,0)</f>
        <v>225</v>
      </c>
      <c r="AV258" s="2">
        <v>20</v>
      </c>
      <c r="AW258" s="2">
        <f t="shared" si="3514"/>
        <v>207</v>
      </c>
      <c r="AX258" s="2">
        <v>0</v>
      </c>
      <c r="AY258" s="2">
        <f t="shared" ref="AY258:BA258" si="3515">_xlfn.RANK.EQ(AX258, AX$7:AX$375,0)</f>
        <v>298</v>
      </c>
      <c r="AZ258" s="2">
        <v>9</v>
      </c>
      <c r="BA258" s="2">
        <f t="shared" si="3515"/>
        <v>160</v>
      </c>
      <c r="BB258" s="2">
        <v>88</v>
      </c>
      <c r="BC258" s="2">
        <f t="shared" ref="BC258:BE258" si="3516">_xlfn.RANK.EQ(BB258, BB$7:BB$375,0)</f>
        <v>168</v>
      </c>
      <c r="BD258" s="2">
        <v>23</v>
      </c>
      <c r="BE258" s="2">
        <f t="shared" si="3516"/>
        <v>258</v>
      </c>
      <c r="BF258" s="2">
        <v>48</v>
      </c>
      <c r="BG258" s="2">
        <f t="shared" ref="BG258:BI258" si="3517">_xlfn.RANK.EQ(BF258, BF$7:BF$375,0)</f>
        <v>278</v>
      </c>
      <c r="BH258" s="2">
        <v>-169</v>
      </c>
      <c r="BI258" s="2">
        <f t="shared" si="3517"/>
        <v>330</v>
      </c>
    </row>
    <row r="259" spans="1:61" x14ac:dyDescent="0.55000000000000004">
      <c r="A259" s="2">
        <v>253</v>
      </c>
      <c r="B259" s="2" t="s">
        <v>309</v>
      </c>
      <c r="C259" s="2" t="s">
        <v>54</v>
      </c>
      <c r="D259" s="2">
        <v>50</v>
      </c>
      <c r="E259" s="2">
        <f t="shared" si="2691"/>
        <v>191</v>
      </c>
      <c r="F259" s="2">
        <v>7</v>
      </c>
      <c r="G259" s="2">
        <f t="shared" ref="G259:I259" si="3518">_xlfn.RANK.EQ(F259, F$7:F$375,0)</f>
        <v>218</v>
      </c>
      <c r="H259" s="3">
        <v>17.45</v>
      </c>
      <c r="I259" s="2">
        <f t="shared" si="3518"/>
        <v>267</v>
      </c>
      <c r="J259" s="5">
        <v>0.34861111111111109</v>
      </c>
      <c r="K259" s="2">
        <f t="shared" ref="K259:M259" si="3519">_xlfn.RANK.EQ(J259, J$7:J$375,0)</f>
        <v>294</v>
      </c>
      <c r="L259" s="2">
        <v>128</v>
      </c>
      <c r="M259" s="2">
        <f t="shared" si="3519"/>
        <v>253</v>
      </c>
      <c r="N259" s="2">
        <v>40</v>
      </c>
      <c r="O259" s="2">
        <f t="shared" ref="O259:Q259" si="3520">_xlfn.RANK.EQ(N259, N$7:N$375,0)</f>
        <v>262</v>
      </c>
      <c r="P259" s="2">
        <v>109</v>
      </c>
      <c r="Q259" s="2">
        <f t="shared" si="3520"/>
        <v>258</v>
      </c>
      <c r="R259" s="4">
        <v>0.36699999999999999</v>
      </c>
      <c r="S259" s="2">
        <f t="shared" ref="S259:U259" si="3521">_xlfn.RANK.EQ(R259, R$7:R$375,0)</f>
        <v>249</v>
      </c>
      <c r="T259" s="2">
        <v>13</v>
      </c>
      <c r="U259" s="2">
        <f t="shared" si="3521"/>
        <v>284</v>
      </c>
      <c r="V259" s="2">
        <v>20</v>
      </c>
      <c r="W259" s="2">
        <f t="shared" ref="W259:Y259" si="3522">_xlfn.RANK.EQ(V259, V$7:V$375,0)</f>
        <v>300</v>
      </c>
      <c r="X259" s="4">
        <v>0.65</v>
      </c>
      <c r="Y259" s="2">
        <f t="shared" si="3522"/>
        <v>21</v>
      </c>
      <c r="Z259" s="2">
        <v>27</v>
      </c>
      <c r="AA259" s="2">
        <f t="shared" ref="AA259:AC259" si="3523">_xlfn.RANK.EQ(Z259, Z$7:Z$375,0)</f>
        <v>185</v>
      </c>
      <c r="AB259" s="2">
        <v>89</v>
      </c>
      <c r="AC259" s="2">
        <f t="shared" si="3523"/>
        <v>184</v>
      </c>
      <c r="AD259" s="4">
        <v>0.30299999999999999</v>
      </c>
      <c r="AE259" s="2">
        <f t="shared" ref="AE259:AG259" si="3524">_xlfn.RANK.EQ(AD259, AD$7:AD$375,0)</f>
        <v>204</v>
      </c>
      <c r="AF259" s="2">
        <v>21</v>
      </c>
      <c r="AG259" s="2">
        <f t="shared" si="3524"/>
        <v>206</v>
      </c>
      <c r="AH259" s="2">
        <v>25</v>
      </c>
      <c r="AI259" s="2">
        <f t="shared" ref="AI259:AK259" si="3525">_xlfn.RANK.EQ(AH259, AH$7:AH$375,0)</f>
        <v>230</v>
      </c>
      <c r="AJ259" s="4">
        <v>0.84</v>
      </c>
      <c r="AK259" s="2">
        <f t="shared" si="3525"/>
        <v>43</v>
      </c>
      <c r="AL259" s="2">
        <v>19</v>
      </c>
      <c r="AM259" s="2">
        <f t="shared" ref="AM259:AO259" si="3526">_xlfn.RANK.EQ(AL259, AL$7:AL$375,0)</f>
        <v>205</v>
      </c>
      <c r="AN259" s="2">
        <v>33</v>
      </c>
      <c r="AO259" s="2">
        <f t="shared" si="3526"/>
        <v>246</v>
      </c>
      <c r="AP259" s="2">
        <v>52</v>
      </c>
      <c r="AQ259" s="2">
        <f t="shared" ref="AQ259:AS259" si="3527">_xlfn.RANK.EQ(AP259, AP$7:AP$375,0)</f>
        <v>244</v>
      </c>
      <c r="AR259" s="2">
        <v>47</v>
      </c>
      <c r="AS259" s="2">
        <f t="shared" si="3527"/>
        <v>226</v>
      </c>
      <c r="AT259" s="2">
        <v>16</v>
      </c>
      <c r="AU259" s="2">
        <f t="shared" ref="AU259:AW259" si="3528">_xlfn.RANK.EQ(AT259, AT$7:AT$375,0)</f>
        <v>278</v>
      </c>
      <c r="AV259" s="2">
        <v>19</v>
      </c>
      <c r="AW259" s="2">
        <f t="shared" si="3528"/>
        <v>216</v>
      </c>
      <c r="AX259" s="2">
        <v>2</v>
      </c>
      <c r="AY259" s="2">
        <f t="shared" ref="AY259:BA259" si="3529">_xlfn.RANK.EQ(AX259, AX$7:AX$375,0)</f>
        <v>234</v>
      </c>
      <c r="AZ259" s="2">
        <v>3</v>
      </c>
      <c r="BA259" s="2">
        <f t="shared" si="3529"/>
        <v>267</v>
      </c>
      <c r="BB259" s="2">
        <v>57</v>
      </c>
      <c r="BC259" s="2">
        <f t="shared" ref="BC259:BE259" si="3530">_xlfn.RANK.EQ(BB259, BB$7:BB$375,0)</f>
        <v>252</v>
      </c>
      <c r="BD259" s="2">
        <v>43</v>
      </c>
      <c r="BE259" s="2">
        <f t="shared" si="3530"/>
        <v>192</v>
      </c>
      <c r="BF259" s="2">
        <v>142</v>
      </c>
      <c r="BG259" s="2">
        <f t="shared" ref="BG259:BI259" si="3531">_xlfn.RANK.EQ(BF259, BF$7:BF$375,0)</f>
        <v>213</v>
      </c>
      <c r="BH259" s="2">
        <v>23</v>
      </c>
      <c r="BI259" s="2">
        <f t="shared" si="3531"/>
        <v>118</v>
      </c>
    </row>
    <row r="260" spans="1:61" x14ac:dyDescent="0.55000000000000004">
      <c r="A260" s="2">
        <v>254</v>
      </c>
      <c r="B260" s="2" t="s">
        <v>310</v>
      </c>
      <c r="C260" s="2" t="s">
        <v>42</v>
      </c>
      <c r="D260" s="2">
        <v>57</v>
      </c>
      <c r="E260" s="2">
        <f t="shared" si="2691"/>
        <v>100</v>
      </c>
      <c r="F260" s="2">
        <v>2</v>
      </c>
      <c r="G260" s="2">
        <f t="shared" ref="G260:I260" si="3532">_xlfn.RANK.EQ(F260, F$7:F$375,0)</f>
        <v>256</v>
      </c>
      <c r="H260" s="3">
        <v>27.981249999999999</v>
      </c>
      <c r="I260" s="2">
        <f t="shared" si="3532"/>
        <v>215</v>
      </c>
      <c r="J260" s="5">
        <v>0.49027777777777776</v>
      </c>
      <c r="K260" s="2">
        <f t="shared" ref="K260:M260" si="3533">_xlfn.RANK.EQ(J260, J$7:J$375,0)</f>
        <v>251</v>
      </c>
      <c r="L260" s="2">
        <v>125</v>
      </c>
      <c r="M260" s="2">
        <f t="shared" si="3533"/>
        <v>254</v>
      </c>
      <c r="N260" s="2">
        <v>43</v>
      </c>
      <c r="O260" s="2">
        <f t="shared" ref="O260:Q260" si="3534">_xlfn.RANK.EQ(N260, N$7:N$375,0)</f>
        <v>257</v>
      </c>
      <c r="P260" s="2">
        <v>112</v>
      </c>
      <c r="Q260" s="2">
        <f t="shared" si="3534"/>
        <v>256</v>
      </c>
      <c r="R260" s="4">
        <v>0.38400000000000001</v>
      </c>
      <c r="S260" s="2">
        <f t="shared" ref="S260:U260" si="3535">_xlfn.RANK.EQ(R260, R$7:R$375,0)</f>
        <v>231</v>
      </c>
      <c r="T260" s="2">
        <v>33</v>
      </c>
      <c r="U260" s="2">
        <f t="shared" si="3535"/>
        <v>216</v>
      </c>
      <c r="V260" s="2">
        <v>67</v>
      </c>
      <c r="W260" s="2">
        <f t="shared" ref="W260:Y260" si="3536">_xlfn.RANK.EQ(V260, V$7:V$375,0)</f>
        <v>218</v>
      </c>
      <c r="X260" s="4">
        <v>0.49299999999999999</v>
      </c>
      <c r="Y260" s="2">
        <f t="shared" si="3536"/>
        <v>190</v>
      </c>
      <c r="Z260" s="2">
        <v>10</v>
      </c>
      <c r="AA260" s="2">
        <f t="shared" ref="AA260:AC260" si="3537">_xlfn.RANK.EQ(Z260, Z$7:Z$375,0)</f>
        <v>254</v>
      </c>
      <c r="AB260" s="2">
        <v>45</v>
      </c>
      <c r="AC260" s="2">
        <f t="shared" si="3537"/>
        <v>244</v>
      </c>
      <c r="AD260" s="4">
        <v>0.222</v>
      </c>
      <c r="AE260" s="2">
        <f t="shared" ref="AE260:AG260" si="3538">_xlfn.RANK.EQ(AD260, AD$7:AD$375,0)</f>
        <v>287</v>
      </c>
      <c r="AF260" s="2">
        <v>29</v>
      </c>
      <c r="AG260" s="2">
        <f t="shared" si="3538"/>
        <v>176</v>
      </c>
      <c r="AH260" s="2">
        <v>39</v>
      </c>
      <c r="AI260" s="2">
        <f t="shared" ref="AI260:AK260" si="3539">_xlfn.RANK.EQ(AH260, AH$7:AH$375,0)</f>
        <v>179</v>
      </c>
      <c r="AJ260" s="4">
        <v>0.74399999999999999</v>
      </c>
      <c r="AK260" s="2">
        <f t="shared" si="3539"/>
        <v>157</v>
      </c>
      <c r="AL260" s="2">
        <v>49</v>
      </c>
      <c r="AM260" s="2">
        <f t="shared" ref="AM260:AO260" si="3540">_xlfn.RANK.EQ(AL260, AL$7:AL$375,0)</f>
        <v>92</v>
      </c>
      <c r="AN260" s="2">
        <v>117</v>
      </c>
      <c r="AO260" s="2">
        <f t="shared" si="3540"/>
        <v>96</v>
      </c>
      <c r="AP260" s="2">
        <v>166</v>
      </c>
      <c r="AQ260" s="2">
        <f t="shared" ref="AQ260:AS260" si="3541">_xlfn.RANK.EQ(AP260, AP$7:AP$375,0)</f>
        <v>92</v>
      </c>
      <c r="AR260" s="2">
        <v>23</v>
      </c>
      <c r="AS260" s="2">
        <f t="shared" si="3541"/>
        <v>266</v>
      </c>
      <c r="AT260" s="2">
        <v>12</v>
      </c>
      <c r="AU260" s="2">
        <f t="shared" ref="AU260:AW260" si="3542">_xlfn.RANK.EQ(AT260, AT$7:AT$375,0)</f>
        <v>295</v>
      </c>
      <c r="AV260" s="2">
        <v>6</v>
      </c>
      <c r="AW260" s="2">
        <f t="shared" si="3542"/>
        <v>293</v>
      </c>
      <c r="AX260" s="2">
        <v>12</v>
      </c>
      <c r="AY260" s="2">
        <f t="shared" ref="AY260:BA260" si="3543">_xlfn.RANK.EQ(AX260, AX$7:AX$375,0)</f>
        <v>88</v>
      </c>
      <c r="AZ260" s="2">
        <v>9</v>
      </c>
      <c r="BA260" s="2">
        <f t="shared" si="3543"/>
        <v>160</v>
      </c>
      <c r="BB260" s="2">
        <v>45</v>
      </c>
      <c r="BC260" s="2">
        <f t="shared" ref="BC260:BE260" si="3544">_xlfn.RANK.EQ(BB260, BB$7:BB$375,0)</f>
        <v>276</v>
      </c>
      <c r="BD260" s="2">
        <v>30</v>
      </c>
      <c r="BE260" s="2">
        <f t="shared" si="3544"/>
        <v>230</v>
      </c>
      <c r="BF260" s="2">
        <v>217</v>
      </c>
      <c r="BG260" s="2">
        <f t="shared" ref="BG260:BI260" si="3545">_xlfn.RANK.EQ(BF260, BF$7:BF$375,0)</f>
        <v>179</v>
      </c>
      <c r="BH260" s="2">
        <v>-3</v>
      </c>
      <c r="BI260" s="2">
        <f t="shared" si="3545"/>
        <v>153</v>
      </c>
    </row>
    <row r="261" spans="1:61" x14ac:dyDescent="0.55000000000000004">
      <c r="A261" s="2">
        <v>254</v>
      </c>
      <c r="B261" s="2" t="s">
        <v>311</v>
      </c>
      <c r="C261" s="2" t="s">
        <v>113</v>
      </c>
      <c r="D261" s="2">
        <v>55</v>
      </c>
      <c r="E261" s="2">
        <f t="shared" si="2691"/>
        <v>139</v>
      </c>
      <c r="F261" s="2">
        <v>9</v>
      </c>
      <c r="G261" s="2">
        <f t="shared" ref="G261:I261" si="3546">_xlfn.RANK.EQ(F261, F$7:F$375,0)</f>
        <v>206</v>
      </c>
      <c r="H261" s="3">
        <v>27.986111111111111</v>
      </c>
      <c r="I261" s="2">
        <f t="shared" si="3546"/>
        <v>214</v>
      </c>
      <c r="J261" s="5">
        <v>0.5083333333333333</v>
      </c>
      <c r="K261" s="2">
        <f t="shared" ref="K261:M261" si="3547">_xlfn.RANK.EQ(J261, J$7:J$375,0)</f>
        <v>247</v>
      </c>
      <c r="L261" s="2">
        <v>125</v>
      </c>
      <c r="M261" s="2">
        <f t="shared" si="3547"/>
        <v>254</v>
      </c>
      <c r="N261" s="2">
        <v>46</v>
      </c>
      <c r="O261" s="2">
        <f t="shared" ref="O261:Q261" si="3548">_xlfn.RANK.EQ(N261, N$7:N$375,0)</f>
        <v>251</v>
      </c>
      <c r="P261" s="2">
        <v>138</v>
      </c>
      <c r="Q261" s="2">
        <f t="shared" si="3548"/>
        <v>235</v>
      </c>
      <c r="R261" s="4">
        <v>0.33300000000000002</v>
      </c>
      <c r="S261" s="2">
        <f t="shared" ref="S261:U261" si="3549">_xlfn.RANK.EQ(R261, R$7:R$375,0)</f>
        <v>297</v>
      </c>
      <c r="T261" s="2">
        <v>38</v>
      </c>
      <c r="U261" s="2">
        <f t="shared" si="3549"/>
        <v>203</v>
      </c>
      <c r="V261" s="2">
        <v>94</v>
      </c>
      <c r="W261" s="2">
        <f t="shared" ref="W261:Y261" si="3550">_xlfn.RANK.EQ(V261, V$7:V$375,0)</f>
        <v>182</v>
      </c>
      <c r="X261" s="4">
        <v>0.40400000000000003</v>
      </c>
      <c r="Y261" s="2">
        <f t="shared" si="3550"/>
        <v>290</v>
      </c>
      <c r="Z261" s="2">
        <v>8</v>
      </c>
      <c r="AA261" s="2">
        <f t="shared" ref="AA261:AC261" si="3551">_xlfn.RANK.EQ(Z261, Z$7:Z$375,0)</f>
        <v>266</v>
      </c>
      <c r="AB261" s="2">
        <v>44</v>
      </c>
      <c r="AC261" s="2">
        <f t="shared" si="3551"/>
        <v>246</v>
      </c>
      <c r="AD261" s="4">
        <v>0.182</v>
      </c>
      <c r="AE261" s="2">
        <f t="shared" ref="AE261:AG261" si="3552">_xlfn.RANK.EQ(AD261, AD$7:AD$375,0)</f>
        <v>313</v>
      </c>
      <c r="AF261" s="2">
        <v>25</v>
      </c>
      <c r="AG261" s="2">
        <f t="shared" si="3552"/>
        <v>193</v>
      </c>
      <c r="AH261" s="2">
        <v>42</v>
      </c>
      <c r="AI261" s="2">
        <f t="shared" ref="AI261:AK261" si="3553">_xlfn.RANK.EQ(AH261, AH$7:AH$375,0)</f>
        <v>169</v>
      </c>
      <c r="AJ261" s="4">
        <v>0.59499999999999997</v>
      </c>
      <c r="AK261" s="2">
        <f t="shared" si="3553"/>
        <v>278</v>
      </c>
      <c r="AL261" s="2">
        <v>50</v>
      </c>
      <c r="AM261" s="2">
        <f t="shared" ref="AM261:AO261" si="3554">_xlfn.RANK.EQ(AL261, AL$7:AL$375,0)</f>
        <v>90</v>
      </c>
      <c r="AN261" s="2">
        <v>84</v>
      </c>
      <c r="AO261" s="2">
        <f t="shared" si="3554"/>
        <v>134</v>
      </c>
      <c r="AP261" s="2">
        <v>134</v>
      </c>
      <c r="AQ261" s="2">
        <f t="shared" ref="AQ261:AS261" si="3555">_xlfn.RANK.EQ(AP261, AP$7:AP$375,0)</f>
        <v>115</v>
      </c>
      <c r="AR261" s="2">
        <v>43</v>
      </c>
      <c r="AS261" s="2">
        <f t="shared" si="3555"/>
        <v>233</v>
      </c>
      <c r="AT261" s="2">
        <v>38</v>
      </c>
      <c r="AU261" s="2">
        <f t="shared" ref="AU261:AW261" si="3556">_xlfn.RANK.EQ(AT261, AT$7:AT$375,0)</f>
        <v>182</v>
      </c>
      <c r="AV261" s="2">
        <v>25</v>
      </c>
      <c r="AW261" s="2">
        <f t="shared" si="3556"/>
        <v>175</v>
      </c>
      <c r="AX261" s="2">
        <v>15</v>
      </c>
      <c r="AY261" s="2">
        <f t="shared" ref="AY261:BA261" si="3557">_xlfn.RANK.EQ(AX261, AX$7:AX$375,0)</f>
        <v>78</v>
      </c>
      <c r="AZ261" s="2">
        <v>8</v>
      </c>
      <c r="BA261" s="2">
        <f t="shared" si="3557"/>
        <v>181</v>
      </c>
      <c r="BB261" s="2">
        <v>78</v>
      </c>
      <c r="BC261" s="2">
        <f t="shared" ref="BC261:BE261" si="3558">_xlfn.RANK.EQ(BB261, BB$7:BB$375,0)</f>
        <v>196</v>
      </c>
      <c r="BD261" s="2">
        <v>57</v>
      </c>
      <c r="BE261" s="2">
        <f t="shared" si="3558"/>
        <v>162</v>
      </c>
      <c r="BF261" s="2">
        <v>166</v>
      </c>
      <c r="BG261" s="2">
        <f t="shared" ref="BG261:BI261" si="3559">_xlfn.RANK.EQ(BF261, BF$7:BF$375,0)</f>
        <v>201</v>
      </c>
      <c r="BH261" s="2">
        <v>-111</v>
      </c>
      <c r="BI261" s="2">
        <f t="shared" si="3559"/>
        <v>292</v>
      </c>
    </row>
    <row r="262" spans="1:61" x14ac:dyDescent="0.55000000000000004">
      <c r="A262" s="2">
        <v>254</v>
      </c>
      <c r="B262" s="2" t="s">
        <v>312</v>
      </c>
      <c r="C262" s="2" t="s">
        <v>106</v>
      </c>
      <c r="D262" s="2">
        <v>41</v>
      </c>
      <c r="E262" s="2">
        <f t="shared" si="2691"/>
        <v>242</v>
      </c>
      <c r="F262" s="2">
        <v>12</v>
      </c>
      <c r="G262" s="2">
        <f t="shared" ref="G262:I262" si="3560">_xlfn.RANK.EQ(F262, F$7:F$375,0)</f>
        <v>192</v>
      </c>
      <c r="H262" s="3">
        <v>19.114583333333332</v>
      </c>
      <c r="I262" s="2">
        <f t="shared" si="3560"/>
        <v>261</v>
      </c>
      <c r="J262" s="5">
        <v>0.46597222222222223</v>
      </c>
      <c r="K262" s="2">
        <f t="shared" ref="K262:M262" si="3561">_xlfn.RANK.EQ(J262, J$7:J$375,0)</f>
        <v>260</v>
      </c>
      <c r="L262" s="2">
        <v>125</v>
      </c>
      <c r="M262" s="2">
        <f t="shared" si="3561"/>
        <v>254</v>
      </c>
      <c r="N262" s="2">
        <v>51</v>
      </c>
      <c r="O262" s="2">
        <f t="shared" ref="O262:Q262" si="3562">_xlfn.RANK.EQ(N262, N$7:N$375,0)</f>
        <v>243</v>
      </c>
      <c r="P262" s="2">
        <v>132</v>
      </c>
      <c r="Q262" s="2">
        <f t="shared" si="3562"/>
        <v>239</v>
      </c>
      <c r="R262" s="4">
        <v>0.38600000000000001</v>
      </c>
      <c r="S262" s="2">
        <f t="shared" ref="S262:U262" si="3563">_xlfn.RANK.EQ(R262, R$7:R$375,0)</f>
        <v>228</v>
      </c>
      <c r="T262" s="2">
        <v>29</v>
      </c>
      <c r="U262" s="2">
        <f t="shared" si="3563"/>
        <v>233</v>
      </c>
      <c r="V262" s="2">
        <v>65</v>
      </c>
      <c r="W262" s="2">
        <f t="shared" ref="W262:Y262" si="3564">_xlfn.RANK.EQ(V262, V$7:V$375,0)</f>
        <v>223</v>
      </c>
      <c r="X262" s="4">
        <v>0.44600000000000001</v>
      </c>
      <c r="Y262" s="2">
        <f t="shared" si="3564"/>
        <v>248</v>
      </c>
      <c r="Z262" s="2">
        <v>22</v>
      </c>
      <c r="AA262" s="2">
        <f t="shared" ref="AA262:AC262" si="3565">_xlfn.RANK.EQ(Z262, Z$7:Z$375,0)</f>
        <v>203</v>
      </c>
      <c r="AB262" s="2">
        <v>67</v>
      </c>
      <c r="AC262" s="2">
        <f t="shared" si="3565"/>
        <v>209</v>
      </c>
      <c r="AD262" s="4">
        <v>0.32800000000000001</v>
      </c>
      <c r="AE262" s="2">
        <f t="shared" ref="AE262:AG262" si="3566">_xlfn.RANK.EQ(AD262, AD$7:AD$375,0)</f>
        <v>164</v>
      </c>
      <c r="AF262" s="2">
        <v>1</v>
      </c>
      <c r="AG262" s="2">
        <f t="shared" si="3566"/>
        <v>330</v>
      </c>
      <c r="AH262" s="2">
        <v>2</v>
      </c>
      <c r="AI262" s="2">
        <f t="shared" ref="AI262:AK262" si="3567">_xlfn.RANK.EQ(AH262, AH$7:AH$375,0)</f>
        <v>333</v>
      </c>
      <c r="AJ262" s="4">
        <v>0.5</v>
      </c>
      <c r="AK262" s="2">
        <f t="shared" si="3567"/>
        <v>306</v>
      </c>
      <c r="AL262" s="2">
        <v>15</v>
      </c>
      <c r="AM262" s="2">
        <f t="shared" ref="AM262:AO262" si="3568">_xlfn.RANK.EQ(AL262, AL$7:AL$375,0)</f>
        <v>241</v>
      </c>
      <c r="AN262" s="2">
        <v>29</v>
      </c>
      <c r="AO262" s="2">
        <f t="shared" si="3568"/>
        <v>263</v>
      </c>
      <c r="AP262" s="2">
        <v>44</v>
      </c>
      <c r="AQ262" s="2">
        <f t="shared" ref="AQ262:AS262" si="3569">_xlfn.RANK.EQ(AP262, AP$7:AP$375,0)</f>
        <v>259</v>
      </c>
      <c r="AR262" s="2">
        <v>20</v>
      </c>
      <c r="AS262" s="2">
        <f t="shared" si="3569"/>
        <v>277</v>
      </c>
      <c r="AT262" s="2">
        <v>27</v>
      </c>
      <c r="AU262" s="2">
        <f t="shared" ref="AU262:AW262" si="3570">_xlfn.RANK.EQ(AT262, AT$7:AT$375,0)</f>
        <v>219</v>
      </c>
      <c r="AV262" s="2">
        <v>7</v>
      </c>
      <c r="AW262" s="2">
        <f t="shared" si="3570"/>
        <v>287</v>
      </c>
      <c r="AX262" s="2">
        <v>8</v>
      </c>
      <c r="AY262" s="2">
        <f t="shared" ref="AY262:BA262" si="3571">_xlfn.RANK.EQ(AX262, AX$7:AX$375,0)</f>
        <v>125</v>
      </c>
      <c r="AZ262" s="2">
        <v>8</v>
      </c>
      <c r="BA262" s="2">
        <f t="shared" si="3571"/>
        <v>181</v>
      </c>
      <c r="BB262" s="2">
        <v>45</v>
      </c>
      <c r="BC262" s="2">
        <f t="shared" ref="BC262:BE262" si="3572">_xlfn.RANK.EQ(BB262, BB$7:BB$375,0)</f>
        <v>276</v>
      </c>
      <c r="BD262" s="2">
        <v>8</v>
      </c>
      <c r="BE262" s="2">
        <f t="shared" si="3572"/>
        <v>309</v>
      </c>
      <c r="BF262" s="2">
        <v>50</v>
      </c>
      <c r="BG262" s="2">
        <f t="shared" ref="BG262:BI262" si="3573">_xlfn.RANK.EQ(BF262, BF$7:BF$375,0)</f>
        <v>275</v>
      </c>
      <c r="BH262" s="2">
        <v>-49</v>
      </c>
      <c r="BI262" s="2">
        <f t="shared" si="3573"/>
        <v>231</v>
      </c>
    </row>
    <row r="263" spans="1:61" x14ac:dyDescent="0.55000000000000004">
      <c r="A263" s="2">
        <v>257</v>
      </c>
      <c r="B263" s="2" t="s">
        <v>313</v>
      </c>
      <c r="C263" s="2" t="s">
        <v>69</v>
      </c>
      <c r="D263" s="2">
        <v>10</v>
      </c>
      <c r="E263" s="2">
        <f t="shared" si="2691"/>
        <v>347</v>
      </c>
      <c r="F263" s="2">
        <v>10</v>
      </c>
      <c r="G263" s="2">
        <f t="shared" ref="G263:I263" si="3574">_xlfn.RANK.EQ(F263, F$7:F$375,0)</f>
        <v>200</v>
      </c>
      <c r="H263" s="3">
        <v>13.247222222222222</v>
      </c>
      <c r="I263" s="2">
        <f t="shared" si="3574"/>
        <v>283</v>
      </c>
      <c r="J263" s="3">
        <v>1.3243055555555556</v>
      </c>
      <c r="K263" s="2">
        <f t="shared" ref="K263:M263" si="3575">_xlfn.RANK.EQ(J263, J$7:J$375,0)</f>
        <v>2</v>
      </c>
      <c r="L263" s="2">
        <v>124</v>
      </c>
      <c r="M263" s="2">
        <f t="shared" si="3575"/>
        <v>257</v>
      </c>
      <c r="N263" s="2">
        <v>45</v>
      </c>
      <c r="O263" s="2">
        <f t="shared" ref="O263:Q263" si="3576">_xlfn.RANK.EQ(N263, N$7:N$375,0)</f>
        <v>254</v>
      </c>
      <c r="P263" s="2">
        <v>81</v>
      </c>
      <c r="Q263" s="2">
        <f t="shared" si="3576"/>
        <v>276</v>
      </c>
      <c r="R263" s="4">
        <v>0.55600000000000005</v>
      </c>
      <c r="S263" s="2">
        <f t="shared" ref="S263:U263" si="3577">_xlfn.RANK.EQ(R263, R$7:R$375,0)</f>
        <v>34</v>
      </c>
      <c r="T263" s="2">
        <v>45</v>
      </c>
      <c r="U263" s="2">
        <f t="shared" si="3577"/>
        <v>186</v>
      </c>
      <c r="V263" s="2">
        <v>80</v>
      </c>
      <c r="W263" s="2">
        <f t="shared" ref="W263:Y263" si="3578">_xlfn.RANK.EQ(V263, V$7:V$375,0)</f>
        <v>206</v>
      </c>
      <c r="X263" s="4">
        <v>0.56299999999999994</v>
      </c>
      <c r="Y263" s="2">
        <f t="shared" si="3578"/>
        <v>89</v>
      </c>
      <c r="Z263" s="2">
        <v>0</v>
      </c>
      <c r="AA263" s="2">
        <f t="shared" ref="AA263:AC263" si="3579">_xlfn.RANK.EQ(Z263, Z$7:Z$375,0)</f>
        <v>329</v>
      </c>
      <c r="AB263" s="2">
        <v>1</v>
      </c>
      <c r="AC263" s="2">
        <f t="shared" si="3579"/>
        <v>342</v>
      </c>
      <c r="AD263" s="4">
        <v>0</v>
      </c>
      <c r="AE263" s="2">
        <f t="shared" ref="AE263:AG263" si="3580">_xlfn.RANK.EQ(AD263, AD$7:AD$375,0)</f>
        <v>329</v>
      </c>
      <c r="AF263" s="2">
        <v>34</v>
      </c>
      <c r="AG263" s="2">
        <f t="shared" si="3580"/>
        <v>160</v>
      </c>
      <c r="AH263" s="2">
        <v>56</v>
      </c>
      <c r="AI263" s="2">
        <f t="shared" ref="AI263:AK263" si="3581">_xlfn.RANK.EQ(AH263, AH$7:AH$375,0)</f>
        <v>145</v>
      </c>
      <c r="AJ263" s="4">
        <v>0.60699999999999998</v>
      </c>
      <c r="AK263" s="2">
        <f t="shared" si="3581"/>
        <v>269</v>
      </c>
      <c r="AL263" s="2">
        <v>31</v>
      </c>
      <c r="AM263" s="2">
        <f t="shared" ref="AM263:AO263" si="3582">_xlfn.RANK.EQ(AL263, AL$7:AL$375,0)</f>
        <v>143</v>
      </c>
      <c r="AN263" s="2">
        <v>61</v>
      </c>
      <c r="AO263" s="2">
        <f t="shared" si="3582"/>
        <v>178</v>
      </c>
      <c r="AP263" s="2">
        <v>92</v>
      </c>
      <c r="AQ263" s="2">
        <f t="shared" ref="AQ263:AS263" si="3583">_xlfn.RANK.EQ(AP263, AP$7:AP$375,0)</f>
        <v>173</v>
      </c>
      <c r="AR263" s="2">
        <v>42</v>
      </c>
      <c r="AS263" s="2">
        <f t="shared" si="3583"/>
        <v>234</v>
      </c>
      <c r="AT263" s="2">
        <v>13</v>
      </c>
      <c r="AU263" s="2">
        <f t="shared" ref="AU263:AW263" si="3584">_xlfn.RANK.EQ(AT263, AT$7:AT$375,0)</f>
        <v>291</v>
      </c>
      <c r="AV263" s="2">
        <v>10</v>
      </c>
      <c r="AW263" s="2">
        <f t="shared" si="3584"/>
        <v>270</v>
      </c>
      <c r="AX263" s="2">
        <v>9</v>
      </c>
      <c r="AY263" s="2">
        <f t="shared" ref="AY263:BA263" si="3585">_xlfn.RANK.EQ(AX263, AX$7:AX$375,0)</f>
        <v>110</v>
      </c>
      <c r="AZ263" s="2">
        <v>8</v>
      </c>
      <c r="BA263" s="2">
        <f t="shared" si="3585"/>
        <v>181</v>
      </c>
      <c r="BB263" s="2">
        <v>20</v>
      </c>
      <c r="BC263" s="2">
        <f t="shared" ref="BC263:BE263" si="3586">_xlfn.RANK.EQ(BB263, BB$7:BB$375,0)</f>
        <v>321</v>
      </c>
      <c r="BD263" s="2">
        <v>51</v>
      </c>
      <c r="BE263" s="2">
        <f t="shared" si="3586"/>
        <v>173</v>
      </c>
      <c r="BF263" s="2">
        <v>229</v>
      </c>
      <c r="BG263" s="2">
        <f t="shared" ref="BG263:BI263" si="3587">_xlfn.RANK.EQ(BF263, BF$7:BF$375,0)</f>
        <v>174</v>
      </c>
      <c r="BH263" s="2">
        <v>23</v>
      </c>
      <c r="BI263" s="2">
        <f t="shared" si="3587"/>
        <v>118</v>
      </c>
    </row>
    <row r="264" spans="1:61" x14ac:dyDescent="0.55000000000000004">
      <c r="A264" s="2">
        <v>258</v>
      </c>
      <c r="B264" s="2" t="s">
        <v>314</v>
      </c>
      <c r="C264" s="2" t="s">
        <v>74</v>
      </c>
      <c r="D264" s="2">
        <v>24</v>
      </c>
      <c r="E264" s="2">
        <f t="shared" ref="E264:E327" si="3588">_xlfn.RANK.EQ(D264, D$7:D$375,0)</f>
        <v>306</v>
      </c>
      <c r="F264" s="2">
        <v>0</v>
      </c>
      <c r="G264" s="2">
        <f t="shared" ref="G264:I264" si="3589">_xlfn.RANK.EQ(F264, F$7:F$375,0)</f>
        <v>291</v>
      </c>
      <c r="H264" s="3">
        <v>15.502777777777778</v>
      </c>
      <c r="I264" s="2">
        <f t="shared" si="3589"/>
        <v>274</v>
      </c>
      <c r="J264" s="5">
        <v>0.64583333333333337</v>
      </c>
      <c r="K264" s="2">
        <f t="shared" ref="K264:M264" si="3590">_xlfn.RANK.EQ(J264, J$7:J$375,0)</f>
        <v>213</v>
      </c>
      <c r="L264" s="2">
        <v>121</v>
      </c>
      <c r="M264" s="2">
        <f t="shared" si="3590"/>
        <v>258</v>
      </c>
      <c r="N264" s="2">
        <v>39</v>
      </c>
      <c r="O264" s="2">
        <f t="shared" ref="O264:Q264" si="3591">_xlfn.RANK.EQ(N264, N$7:N$375,0)</f>
        <v>264</v>
      </c>
      <c r="P264" s="2">
        <v>98</v>
      </c>
      <c r="Q264" s="2">
        <f t="shared" si="3591"/>
        <v>266</v>
      </c>
      <c r="R264" s="4">
        <v>0.39800000000000002</v>
      </c>
      <c r="S264" s="2">
        <f t="shared" ref="S264:U264" si="3592">_xlfn.RANK.EQ(R264, R$7:R$375,0)</f>
        <v>206</v>
      </c>
      <c r="T264" s="2">
        <v>23</v>
      </c>
      <c r="U264" s="2">
        <f t="shared" si="3592"/>
        <v>250</v>
      </c>
      <c r="V264" s="2">
        <v>50</v>
      </c>
      <c r="W264" s="2">
        <f t="shared" ref="W264:Y264" si="3593">_xlfn.RANK.EQ(V264, V$7:V$375,0)</f>
        <v>248</v>
      </c>
      <c r="X264" s="4">
        <v>0.46</v>
      </c>
      <c r="Y264" s="2">
        <f t="shared" si="3593"/>
        <v>232</v>
      </c>
      <c r="Z264" s="2">
        <v>16</v>
      </c>
      <c r="AA264" s="2">
        <f t="shared" ref="AA264:AC264" si="3594">_xlfn.RANK.EQ(Z264, Z$7:Z$375,0)</f>
        <v>222</v>
      </c>
      <c r="AB264" s="2">
        <v>48</v>
      </c>
      <c r="AC264" s="2">
        <f t="shared" si="3594"/>
        <v>239</v>
      </c>
      <c r="AD264" s="4">
        <v>0.33300000000000002</v>
      </c>
      <c r="AE264" s="2">
        <f t="shared" ref="AE264:AG264" si="3595">_xlfn.RANK.EQ(AD264, AD$7:AD$375,0)</f>
        <v>149</v>
      </c>
      <c r="AF264" s="2">
        <v>27</v>
      </c>
      <c r="AG264" s="2">
        <f t="shared" si="3595"/>
        <v>187</v>
      </c>
      <c r="AH264" s="2">
        <v>30</v>
      </c>
      <c r="AI264" s="2">
        <f t="shared" ref="AI264:AK264" si="3596">_xlfn.RANK.EQ(AH264, AH$7:AH$375,0)</f>
        <v>209</v>
      </c>
      <c r="AJ264" s="4">
        <v>0.9</v>
      </c>
      <c r="AK264" s="2">
        <f t="shared" si="3596"/>
        <v>19</v>
      </c>
      <c r="AL264" s="2">
        <v>11</v>
      </c>
      <c r="AM264" s="2">
        <f t="shared" ref="AM264:AO264" si="3597">_xlfn.RANK.EQ(AL264, AL$7:AL$375,0)</f>
        <v>272</v>
      </c>
      <c r="AN264" s="2">
        <v>16</v>
      </c>
      <c r="AO264" s="2">
        <f t="shared" si="3597"/>
        <v>299</v>
      </c>
      <c r="AP264" s="2">
        <v>27</v>
      </c>
      <c r="AQ264" s="2">
        <f t="shared" ref="AQ264:AS264" si="3598">_xlfn.RANK.EQ(AP264, AP$7:AP$375,0)</f>
        <v>291</v>
      </c>
      <c r="AR264" s="2">
        <v>68</v>
      </c>
      <c r="AS264" s="2">
        <f t="shared" si="3598"/>
        <v>180</v>
      </c>
      <c r="AT264" s="2">
        <v>24</v>
      </c>
      <c r="AU264" s="2">
        <f t="shared" ref="AU264:AW264" si="3599">_xlfn.RANK.EQ(AT264, AT$7:AT$375,0)</f>
        <v>236</v>
      </c>
      <c r="AV264" s="2">
        <v>4</v>
      </c>
      <c r="AW264" s="2">
        <f t="shared" si="3599"/>
        <v>312</v>
      </c>
      <c r="AX264" s="2">
        <v>0</v>
      </c>
      <c r="AY264" s="2">
        <f t="shared" ref="AY264:BA264" si="3600">_xlfn.RANK.EQ(AX264, AX$7:AX$375,0)</f>
        <v>298</v>
      </c>
      <c r="AZ264" s="2">
        <v>3</v>
      </c>
      <c r="BA264" s="2">
        <f t="shared" si="3600"/>
        <v>267</v>
      </c>
      <c r="BB264" s="2">
        <v>22</v>
      </c>
      <c r="BC264" s="2">
        <f t="shared" ref="BC264:BE264" si="3601">_xlfn.RANK.EQ(BB264, BB$7:BB$375,0)</f>
        <v>314</v>
      </c>
      <c r="BD264" s="2">
        <v>26</v>
      </c>
      <c r="BE264" s="2">
        <f t="shared" si="3601"/>
        <v>248</v>
      </c>
      <c r="BF264" s="2">
        <v>135</v>
      </c>
      <c r="BG264" s="2">
        <f t="shared" ref="BG264:BI264" si="3602">_xlfn.RANK.EQ(BF264, BF$7:BF$375,0)</f>
        <v>217</v>
      </c>
      <c r="BH264" s="2">
        <v>-55</v>
      </c>
      <c r="BI264" s="2">
        <f t="shared" si="3602"/>
        <v>239</v>
      </c>
    </row>
    <row r="265" spans="1:61" x14ac:dyDescent="0.55000000000000004">
      <c r="A265" s="2">
        <v>259</v>
      </c>
      <c r="B265" s="2" t="s">
        <v>315</v>
      </c>
      <c r="C265" s="2" t="s">
        <v>48</v>
      </c>
      <c r="D265" s="2">
        <v>54</v>
      </c>
      <c r="E265" s="2">
        <f t="shared" si="3588"/>
        <v>155</v>
      </c>
      <c r="F265" s="2">
        <v>8</v>
      </c>
      <c r="G265" s="2">
        <f t="shared" ref="G265:I265" si="3603">_xlfn.RANK.EQ(F265, F$7:F$375,0)</f>
        <v>214</v>
      </c>
      <c r="H265" s="3">
        <v>23.237500000000001</v>
      </c>
      <c r="I265" s="2">
        <f t="shared" si="3603"/>
        <v>234</v>
      </c>
      <c r="J265" s="5">
        <v>0.42986111111111114</v>
      </c>
      <c r="K265" s="2">
        <f t="shared" ref="K265:M265" si="3604">_xlfn.RANK.EQ(J265, J$7:J$375,0)</f>
        <v>269</v>
      </c>
      <c r="L265" s="2">
        <v>119</v>
      </c>
      <c r="M265" s="2">
        <f t="shared" si="3604"/>
        <v>259</v>
      </c>
      <c r="N265" s="2">
        <v>42</v>
      </c>
      <c r="O265" s="2">
        <f t="shared" ref="O265:Q265" si="3605">_xlfn.RANK.EQ(N265, N$7:N$375,0)</f>
        <v>258</v>
      </c>
      <c r="P265" s="2">
        <v>118</v>
      </c>
      <c r="Q265" s="2">
        <f t="shared" si="3605"/>
        <v>250</v>
      </c>
      <c r="R265" s="4">
        <v>0.35599999999999998</v>
      </c>
      <c r="S265" s="2">
        <f t="shared" ref="S265:U265" si="3606">_xlfn.RANK.EQ(R265, R$7:R$375,0)</f>
        <v>266</v>
      </c>
      <c r="T265" s="2">
        <v>10</v>
      </c>
      <c r="U265" s="2">
        <f t="shared" si="3606"/>
        <v>294</v>
      </c>
      <c r="V265" s="2">
        <v>24</v>
      </c>
      <c r="W265" s="2">
        <f t="shared" ref="W265:Y265" si="3607">_xlfn.RANK.EQ(V265, V$7:V$375,0)</f>
        <v>292</v>
      </c>
      <c r="X265" s="4">
        <v>0.41699999999999998</v>
      </c>
      <c r="Y265" s="2">
        <f t="shared" si="3607"/>
        <v>282</v>
      </c>
      <c r="Z265" s="2">
        <v>32</v>
      </c>
      <c r="AA265" s="2">
        <f t="shared" ref="AA265:AC265" si="3608">_xlfn.RANK.EQ(Z265, Z$7:Z$375,0)</f>
        <v>168</v>
      </c>
      <c r="AB265" s="2">
        <v>94</v>
      </c>
      <c r="AC265" s="2">
        <f t="shared" si="3608"/>
        <v>177</v>
      </c>
      <c r="AD265" s="4">
        <v>0.34</v>
      </c>
      <c r="AE265" s="2">
        <f t="shared" ref="AE265:AG265" si="3609">_xlfn.RANK.EQ(AD265, AD$7:AD$375,0)</f>
        <v>135</v>
      </c>
      <c r="AF265" s="2">
        <v>3</v>
      </c>
      <c r="AG265" s="2">
        <f t="shared" si="3609"/>
        <v>314</v>
      </c>
      <c r="AH265" s="2">
        <v>5</v>
      </c>
      <c r="AI265" s="2">
        <f t="shared" ref="AI265:AK265" si="3610">_xlfn.RANK.EQ(AH265, AH$7:AH$375,0)</f>
        <v>315</v>
      </c>
      <c r="AJ265" s="4">
        <v>0.6</v>
      </c>
      <c r="AK265" s="2">
        <f t="shared" si="3610"/>
        <v>273</v>
      </c>
      <c r="AL265" s="2">
        <v>19</v>
      </c>
      <c r="AM265" s="2">
        <f t="shared" ref="AM265:AO265" si="3611">_xlfn.RANK.EQ(AL265, AL$7:AL$375,0)</f>
        <v>205</v>
      </c>
      <c r="AN265" s="2">
        <v>44</v>
      </c>
      <c r="AO265" s="2">
        <f t="shared" si="3611"/>
        <v>214</v>
      </c>
      <c r="AP265" s="2">
        <v>63</v>
      </c>
      <c r="AQ265" s="2">
        <f t="shared" ref="AQ265:AS265" si="3612">_xlfn.RANK.EQ(AP265, AP$7:AP$375,0)</f>
        <v>220</v>
      </c>
      <c r="AR265" s="2">
        <v>23</v>
      </c>
      <c r="AS265" s="2">
        <f t="shared" si="3612"/>
        <v>266</v>
      </c>
      <c r="AT265" s="2">
        <v>14</v>
      </c>
      <c r="AU265" s="2">
        <f t="shared" ref="AU265:AW265" si="3613">_xlfn.RANK.EQ(AT265, AT$7:AT$375,0)</f>
        <v>288</v>
      </c>
      <c r="AV265" s="2">
        <v>15</v>
      </c>
      <c r="AW265" s="2">
        <f t="shared" si="3613"/>
        <v>238</v>
      </c>
      <c r="AX265" s="2">
        <v>4</v>
      </c>
      <c r="AY265" s="2">
        <f t="shared" ref="AY265:BA265" si="3614">_xlfn.RANK.EQ(AX265, AX$7:AX$375,0)</f>
        <v>186</v>
      </c>
      <c r="AZ265" s="2">
        <v>3</v>
      </c>
      <c r="BA265" s="2">
        <f t="shared" si="3614"/>
        <v>267</v>
      </c>
      <c r="BB265" s="2">
        <v>58</v>
      </c>
      <c r="BC265" s="2">
        <f t="shared" ref="BC265:BE265" si="3615">_xlfn.RANK.EQ(BB265, BB$7:BB$375,0)</f>
        <v>249</v>
      </c>
      <c r="BD265" s="2">
        <v>9</v>
      </c>
      <c r="BE265" s="2">
        <f t="shared" si="3615"/>
        <v>304</v>
      </c>
      <c r="BF265" s="2">
        <v>80</v>
      </c>
      <c r="BG265" s="2">
        <f t="shared" ref="BG265:BI265" si="3616">_xlfn.RANK.EQ(BF265, BF$7:BF$375,0)</f>
        <v>253</v>
      </c>
      <c r="BH265" s="2">
        <v>-147</v>
      </c>
      <c r="BI265" s="2">
        <f t="shared" si="3616"/>
        <v>318</v>
      </c>
    </row>
    <row r="266" spans="1:61" x14ac:dyDescent="0.55000000000000004">
      <c r="A266" s="2">
        <v>259</v>
      </c>
      <c r="B266" s="2" t="s">
        <v>316</v>
      </c>
      <c r="C266" s="2" t="s">
        <v>67</v>
      </c>
      <c r="D266" s="2">
        <v>47</v>
      </c>
      <c r="E266" s="2">
        <f t="shared" si="3588"/>
        <v>207</v>
      </c>
      <c r="F266" s="2">
        <v>0</v>
      </c>
      <c r="G266" s="2">
        <f t="shared" ref="G266:I266" si="3617">_xlfn.RANK.EQ(F266, F$7:F$375,0)</f>
        <v>291</v>
      </c>
      <c r="H266" s="3">
        <v>13.512499999999999</v>
      </c>
      <c r="I266" s="2">
        <f t="shared" si="3617"/>
        <v>282</v>
      </c>
      <c r="J266" s="5">
        <v>0.28749999999999998</v>
      </c>
      <c r="K266" s="2">
        <f t="shared" ref="K266:M266" si="3618">_xlfn.RANK.EQ(J266, J$7:J$375,0)</f>
        <v>309</v>
      </c>
      <c r="L266" s="2">
        <v>119</v>
      </c>
      <c r="M266" s="2">
        <f t="shared" si="3618"/>
        <v>259</v>
      </c>
      <c r="N266" s="2">
        <v>41</v>
      </c>
      <c r="O266" s="2">
        <f t="shared" ref="O266:Q266" si="3619">_xlfn.RANK.EQ(N266, N$7:N$375,0)</f>
        <v>261</v>
      </c>
      <c r="P266" s="2">
        <v>93</v>
      </c>
      <c r="Q266" s="2">
        <f t="shared" si="3619"/>
        <v>268</v>
      </c>
      <c r="R266" s="4">
        <v>0.441</v>
      </c>
      <c r="S266" s="2">
        <f t="shared" ref="S266:U266" si="3620">_xlfn.RANK.EQ(R266, R$7:R$375,0)</f>
        <v>131</v>
      </c>
      <c r="T266" s="2">
        <v>11</v>
      </c>
      <c r="U266" s="2">
        <f t="shared" si="3620"/>
        <v>291</v>
      </c>
      <c r="V266" s="2">
        <v>15</v>
      </c>
      <c r="W266" s="2">
        <f t="shared" ref="W266:Y266" si="3621">_xlfn.RANK.EQ(V266, V$7:V$375,0)</f>
        <v>316</v>
      </c>
      <c r="X266" s="4">
        <v>0.73299999999999998</v>
      </c>
      <c r="Y266" s="2">
        <f t="shared" si="3621"/>
        <v>7</v>
      </c>
      <c r="Z266" s="2">
        <v>30</v>
      </c>
      <c r="AA266" s="2">
        <f t="shared" ref="AA266:AC266" si="3622">_xlfn.RANK.EQ(Z266, Z$7:Z$375,0)</f>
        <v>174</v>
      </c>
      <c r="AB266" s="2">
        <v>78</v>
      </c>
      <c r="AC266" s="2">
        <f t="shared" si="3622"/>
        <v>195</v>
      </c>
      <c r="AD266" s="4">
        <v>0.38500000000000001</v>
      </c>
      <c r="AE266" s="2">
        <f t="shared" ref="AE266:AG266" si="3623">_xlfn.RANK.EQ(AD266, AD$7:AD$375,0)</f>
        <v>59</v>
      </c>
      <c r="AF266" s="2">
        <v>7</v>
      </c>
      <c r="AG266" s="2">
        <f t="shared" si="3623"/>
        <v>286</v>
      </c>
      <c r="AH266" s="2">
        <v>9</v>
      </c>
      <c r="AI266" s="2">
        <f t="shared" ref="AI266:AK266" si="3624">_xlfn.RANK.EQ(AH266, AH$7:AH$375,0)</f>
        <v>298</v>
      </c>
      <c r="AJ266" s="4">
        <v>0.77800000000000002</v>
      </c>
      <c r="AK266" s="2">
        <f t="shared" si="3624"/>
        <v>112</v>
      </c>
      <c r="AL266" s="2">
        <v>4</v>
      </c>
      <c r="AM266" s="2">
        <f t="shared" ref="AM266:AO266" si="3625">_xlfn.RANK.EQ(AL266, AL$7:AL$375,0)</f>
        <v>305</v>
      </c>
      <c r="AN266" s="2">
        <v>30</v>
      </c>
      <c r="AO266" s="2">
        <f t="shared" si="3625"/>
        <v>262</v>
      </c>
      <c r="AP266" s="2">
        <v>34</v>
      </c>
      <c r="AQ266" s="2">
        <f t="shared" ref="AQ266:AS266" si="3626">_xlfn.RANK.EQ(AP266, AP$7:AP$375,0)</f>
        <v>279</v>
      </c>
      <c r="AR266" s="2">
        <v>14</v>
      </c>
      <c r="AS266" s="2">
        <f t="shared" si="3626"/>
        <v>294</v>
      </c>
      <c r="AT266" s="2">
        <v>10</v>
      </c>
      <c r="AU266" s="2">
        <f t="shared" ref="AU266:AW266" si="3627">_xlfn.RANK.EQ(AT266, AT$7:AT$375,0)</f>
        <v>305</v>
      </c>
      <c r="AV266" s="2">
        <v>5</v>
      </c>
      <c r="AW266" s="2">
        <f t="shared" si="3627"/>
        <v>303</v>
      </c>
      <c r="AX266" s="2">
        <v>6</v>
      </c>
      <c r="AY266" s="2">
        <f t="shared" ref="AY266:BA266" si="3628">_xlfn.RANK.EQ(AX266, AX$7:AX$375,0)</f>
        <v>156</v>
      </c>
      <c r="AZ266" s="2">
        <v>0</v>
      </c>
      <c r="BA266" s="2">
        <f t="shared" si="3628"/>
        <v>337</v>
      </c>
      <c r="BB266" s="2">
        <v>47</v>
      </c>
      <c r="BC266" s="2">
        <f t="shared" ref="BC266:BE266" si="3629">_xlfn.RANK.EQ(BB266, BB$7:BB$375,0)</f>
        <v>272</v>
      </c>
      <c r="BD266" s="2">
        <v>6</v>
      </c>
      <c r="BE266" s="2">
        <f t="shared" si="3629"/>
        <v>317</v>
      </c>
      <c r="BF266" s="2">
        <v>73</v>
      </c>
      <c r="BG266" s="2">
        <f t="shared" ref="BG266:BI266" si="3630">_xlfn.RANK.EQ(BF266, BF$7:BF$375,0)</f>
        <v>261</v>
      </c>
      <c r="BH266" s="2">
        <v>38</v>
      </c>
      <c r="BI266" s="2">
        <f t="shared" si="3630"/>
        <v>108</v>
      </c>
    </row>
    <row r="267" spans="1:61" x14ac:dyDescent="0.55000000000000004">
      <c r="A267" s="2">
        <v>261</v>
      </c>
      <c r="B267" s="2" t="s">
        <v>317</v>
      </c>
      <c r="C267" s="2" t="s">
        <v>38</v>
      </c>
      <c r="D267" s="2">
        <v>44</v>
      </c>
      <c r="E267" s="2">
        <f t="shared" si="3588"/>
        <v>224</v>
      </c>
      <c r="F267" s="2">
        <v>7</v>
      </c>
      <c r="G267" s="2">
        <f t="shared" ref="G267:I267" si="3631">_xlfn.RANK.EQ(F267, F$7:F$375,0)</f>
        <v>218</v>
      </c>
      <c r="H267" s="3">
        <v>16.232638888888889</v>
      </c>
      <c r="I267" s="2">
        <f t="shared" si="3631"/>
        <v>270</v>
      </c>
      <c r="J267" s="5">
        <v>0.36875000000000002</v>
      </c>
      <c r="K267" s="2">
        <f t="shared" ref="K267:M267" si="3632">_xlfn.RANK.EQ(J267, J$7:J$375,0)</f>
        <v>289</v>
      </c>
      <c r="L267" s="2">
        <v>118</v>
      </c>
      <c r="M267" s="2">
        <f t="shared" si="3632"/>
        <v>261</v>
      </c>
      <c r="N267" s="2">
        <v>42</v>
      </c>
      <c r="O267" s="2">
        <f t="shared" ref="O267:Q267" si="3633">_xlfn.RANK.EQ(N267, N$7:N$375,0)</f>
        <v>258</v>
      </c>
      <c r="P267" s="2">
        <v>144</v>
      </c>
      <c r="Q267" s="2">
        <f t="shared" si="3633"/>
        <v>229</v>
      </c>
      <c r="R267" s="4">
        <v>0.29199999999999998</v>
      </c>
      <c r="S267" s="2">
        <f t="shared" ref="S267:U267" si="3634">_xlfn.RANK.EQ(R267, R$7:R$375,0)</f>
        <v>338</v>
      </c>
      <c r="T267" s="2">
        <v>26</v>
      </c>
      <c r="U267" s="2">
        <f t="shared" si="3634"/>
        <v>244</v>
      </c>
      <c r="V267" s="2">
        <v>67</v>
      </c>
      <c r="W267" s="2">
        <f t="shared" ref="W267:Y267" si="3635">_xlfn.RANK.EQ(V267, V$7:V$375,0)</f>
        <v>218</v>
      </c>
      <c r="X267" s="4">
        <v>0.38800000000000001</v>
      </c>
      <c r="Y267" s="2">
        <f t="shared" si="3635"/>
        <v>304</v>
      </c>
      <c r="Z267" s="2">
        <v>16</v>
      </c>
      <c r="AA267" s="2">
        <f t="shared" ref="AA267:AC267" si="3636">_xlfn.RANK.EQ(Z267, Z$7:Z$375,0)</f>
        <v>222</v>
      </c>
      <c r="AB267" s="2">
        <v>77</v>
      </c>
      <c r="AC267" s="2">
        <f t="shared" si="3636"/>
        <v>198</v>
      </c>
      <c r="AD267" s="4">
        <v>0.20799999999999999</v>
      </c>
      <c r="AE267" s="2">
        <f t="shared" ref="AE267:AG267" si="3637">_xlfn.RANK.EQ(AD267, AD$7:AD$375,0)</f>
        <v>296</v>
      </c>
      <c r="AF267" s="2">
        <v>18</v>
      </c>
      <c r="AG267" s="2">
        <f t="shared" si="3637"/>
        <v>224</v>
      </c>
      <c r="AH267" s="2">
        <v>27</v>
      </c>
      <c r="AI267" s="2">
        <f t="shared" ref="AI267:AK267" si="3638">_xlfn.RANK.EQ(AH267, AH$7:AH$375,0)</f>
        <v>219</v>
      </c>
      <c r="AJ267" s="4">
        <v>0.66700000000000004</v>
      </c>
      <c r="AK267" s="2">
        <f t="shared" si="3638"/>
        <v>227</v>
      </c>
      <c r="AL267" s="2">
        <v>18</v>
      </c>
      <c r="AM267" s="2">
        <f t="shared" ref="AM267:AO267" si="3639">_xlfn.RANK.EQ(AL267, AL$7:AL$375,0)</f>
        <v>215</v>
      </c>
      <c r="AN267" s="2">
        <v>20</v>
      </c>
      <c r="AO267" s="2">
        <f t="shared" si="3639"/>
        <v>286</v>
      </c>
      <c r="AP267" s="2">
        <v>38</v>
      </c>
      <c r="AQ267" s="2">
        <f t="shared" ref="AQ267:AS267" si="3640">_xlfn.RANK.EQ(AP267, AP$7:AP$375,0)</f>
        <v>274</v>
      </c>
      <c r="AR267" s="2">
        <v>44</v>
      </c>
      <c r="AS267" s="2">
        <f t="shared" si="3640"/>
        <v>229</v>
      </c>
      <c r="AT267" s="2">
        <v>28</v>
      </c>
      <c r="AU267" s="2">
        <f t="shared" ref="AU267:AW267" si="3641">_xlfn.RANK.EQ(AT267, AT$7:AT$375,0)</f>
        <v>215</v>
      </c>
      <c r="AV267" s="2">
        <v>22</v>
      </c>
      <c r="AW267" s="2">
        <f t="shared" si="3641"/>
        <v>197</v>
      </c>
      <c r="AX267" s="2">
        <v>1</v>
      </c>
      <c r="AY267" s="2">
        <f t="shared" ref="AY267:BA267" si="3642">_xlfn.RANK.EQ(AX267, AX$7:AX$375,0)</f>
        <v>265</v>
      </c>
      <c r="AZ267" s="2">
        <v>11</v>
      </c>
      <c r="BA267" s="2">
        <f t="shared" si="3642"/>
        <v>132</v>
      </c>
      <c r="BB267" s="2">
        <v>79</v>
      </c>
      <c r="BC267" s="2">
        <f t="shared" ref="BC267:BE267" si="3643">_xlfn.RANK.EQ(BB267, BB$7:BB$375,0)</f>
        <v>195</v>
      </c>
      <c r="BD267" s="2">
        <v>30</v>
      </c>
      <c r="BE267" s="2">
        <f t="shared" si="3643"/>
        <v>230</v>
      </c>
      <c r="BF267" s="2">
        <v>24</v>
      </c>
      <c r="BG267" s="2">
        <f t="shared" ref="BG267:BI267" si="3644">_xlfn.RANK.EQ(BF267, BF$7:BF$375,0)</f>
        <v>299</v>
      </c>
      <c r="BH267" s="2">
        <v>-42</v>
      </c>
      <c r="BI267" s="2">
        <f t="shared" si="3644"/>
        <v>224</v>
      </c>
    </row>
    <row r="268" spans="1:61" x14ac:dyDescent="0.55000000000000004">
      <c r="A268" s="2">
        <v>262</v>
      </c>
      <c r="B268" s="2" t="s">
        <v>318</v>
      </c>
      <c r="C268" s="2" t="s">
        <v>69</v>
      </c>
      <c r="D268" s="2">
        <v>56</v>
      </c>
      <c r="E268" s="2">
        <f t="shared" si="3588"/>
        <v>124</v>
      </c>
      <c r="F268" s="2">
        <v>15</v>
      </c>
      <c r="G268" s="2">
        <f t="shared" ref="G268:I268" si="3645">_xlfn.RANK.EQ(F268, F$7:F$375,0)</f>
        <v>178</v>
      </c>
      <c r="H268" s="3">
        <v>42.539583333333333</v>
      </c>
      <c r="I268" s="2">
        <f t="shared" si="3645"/>
        <v>140</v>
      </c>
      <c r="J268" s="5">
        <v>0.75902777777777775</v>
      </c>
      <c r="K268" s="2">
        <f t="shared" ref="K268:M268" si="3646">_xlfn.RANK.EQ(J268, J$7:J$375,0)</f>
        <v>176</v>
      </c>
      <c r="L268" s="2">
        <v>117</v>
      </c>
      <c r="M268" s="2">
        <f t="shared" si="3646"/>
        <v>262</v>
      </c>
      <c r="N268" s="2">
        <v>39</v>
      </c>
      <c r="O268" s="2">
        <f t="shared" ref="O268:Q268" si="3647">_xlfn.RANK.EQ(N268, N$7:N$375,0)</f>
        <v>264</v>
      </c>
      <c r="P268" s="2">
        <v>107</v>
      </c>
      <c r="Q268" s="2">
        <f t="shared" si="3647"/>
        <v>260</v>
      </c>
      <c r="R268" s="4">
        <v>0.36399999999999999</v>
      </c>
      <c r="S268" s="2">
        <f t="shared" ref="S268:U268" si="3648">_xlfn.RANK.EQ(R268, R$7:R$375,0)</f>
        <v>256</v>
      </c>
      <c r="T268" s="2">
        <v>13</v>
      </c>
      <c r="U268" s="2">
        <f t="shared" si="3648"/>
        <v>284</v>
      </c>
      <c r="V268" s="2">
        <v>32</v>
      </c>
      <c r="W268" s="2">
        <f t="shared" ref="W268:Y268" si="3649">_xlfn.RANK.EQ(V268, V$7:V$375,0)</f>
        <v>279</v>
      </c>
      <c r="X268" s="4">
        <v>0.40600000000000003</v>
      </c>
      <c r="Y268" s="2">
        <f t="shared" si="3649"/>
        <v>288</v>
      </c>
      <c r="Z268" s="2">
        <v>26</v>
      </c>
      <c r="AA268" s="2">
        <f t="shared" ref="AA268:AC268" si="3650">_xlfn.RANK.EQ(Z268, Z$7:Z$375,0)</f>
        <v>187</v>
      </c>
      <c r="AB268" s="2">
        <v>75</v>
      </c>
      <c r="AC268" s="2">
        <f t="shared" si="3650"/>
        <v>200</v>
      </c>
      <c r="AD268" s="4">
        <v>0.34699999999999998</v>
      </c>
      <c r="AE268" s="2">
        <f t="shared" ref="AE268:AG268" si="3651">_xlfn.RANK.EQ(AD268, AD$7:AD$375,0)</f>
        <v>118</v>
      </c>
      <c r="AF268" s="2">
        <v>13</v>
      </c>
      <c r="AG268" s="2">
        <f t="shared" si="3651"/>
        <v>248</v>
      </c>
      <c r="AH268" s="2">
        <v>24</v>
      </c>
      <c r="AI268" s="2">
        <f t="shared" ref="AI268:AK268" si="3652">_xlfn.RANK.EQ(AH268, AH$7:AH$375,0)</f>
        <v>234</v>
      </c>
      <c r="AJ268" s="4">
        <v>0.54200000000000004</v>
      </c>
      <c r="AK268" s="2">
        <f t="shared" si="3652"/>
        <v>296</v>
      </c>
      <c r="AL268" s="2">
        <v>31</v>
      </c>
      <c r="AM268" s="2">
        <f t="shared" ref="AM268:AO268" si="3653">_xlfn.RANK.EQ(AL268, AL$7:AL$375,0)</f>
        <v>143</v>
      </c>
      <c r="AN268" s="2">
        <v>50</v>
      </c>
      <c r="AO268" s="2">
        <f t="shared" si="3653"/>
        <v>196</v>
      </c>
      <c r="AP268" s="2">
        <v>81</v>
      </c>
      <c r="AQ268" s="2">
        <f t="shared" ref="AQ268:AS268" si="3654">_xlfn.RANK.EQ(AP268, AP$7:AP$375,0)</f>
        <v>188</v>
      </c>
      <c r="AR268" s="2">
        <v>156</v>
      </c>
      <c r="AS268" s="2">
        <f t="shared" si="3654"/>
        <v>68</v>
      </c>
      <c r="AT268" s="2">
        <v>55</v>
      </c>
      <c r="AU268" s="2">
        <f t="shared" ref="AU268:AW268" si="3655">_xlfn.RANK.EQ(AT268, AT$7:AT$375,0)</f>
        <v>131</v>
      </c>
      <c r="AV268" s="2">
        <v>41</v>
      </c>
      <c r="AW268" s="2">
        <f t="shared" si="3655"/>
        <v>101</v>
      </c>
      <c r="AX268" s="2">
        <v>3</v>
      </c>
      <c r="AY268" s="2">
        <f t="shared" ref="AY268:BA268" si="3656">_xlfn.RANK.EQ(AX268, AX$7:AX$375,0)</f>
        <v>208</v>
      </c>
      <c r="AZ268" s="2">
        <v>4</v>
      </c>
      <c r="BA268" s="2">
        <f t="shared" si="3656"/>
        <v>246</v>
      </c>
      <c r="BB268" s="2">
        <v>129</v>
      </c>
      <c r="BC268" s="2">
        <f t="shared" ref="BC268:BE268" si="3657">_xlfn.RANK.EQ(BB268, BB$7:BB$375,0)</f>
        <v>59</v>
      </c>
      <c r="BD268" s="2">
        <v>46</v>
      </c>
      <c r="BE268" s="2">
        <f t="shared" si="3657"/>
        <v>182</v>
      </c>
      <c r="BF268" s="2">
        <v>177</v>
      </c>
      <c r="BG268" s="2">
        <f t="shared" ref="BG268:BI268" si="3658">_xlfn.RANK.EQ(BF268, BF$7:BF$375,0)</f>
        <v>197</v>
      </c>
      <c r="BH268" s="2">
        <v>-41</v>
      </c>
      <c r="BI268" s="2">
        <f t="shared" si="3658"/>
        <v>223</v>
      </c>
    </row>
    <row r="269" spans="1:61" x14ac:dyDescent="0.55000000000000004">
      <c r="A269" s="2">
        <v>263</v>
      </c>
      <c r="B269" s="2" t="s">
        <v>319</v>
      </c>
      <c r="C269" s="2" t="s">
        <v>52</v>
      </c>
      <c r="D269" s="2">
        <v>58</v>
      </c>
      <c r="E269" s="2">
        <f t="shared" si="3588"/>
        <v>78</v>
      </c>
      <c r="F269" s="2">
        <v>5</v>
      </c>
      <c r="G269" s="2">
        <f t="shared" ref="G269:I269" si="3659">_xlfn.RANK.EQ(F269, F$7:F$375,0)</f>
        <v>238</v>
      </c>
      <c r="H269" s="3">
        <v>20.229166666666668</v>
      </c>
      <c r="I269" s="2">
        <f t="shared" si="3659"/>
        <v>256</v>
      </c>
      <c r="J269" s="5">
        <v>0.34861111111111109</v>
      </c>
      <c r="K269" s="2">
        <f t="shared" ref="K269:M269" si="3660">_xlfn.RANK.EQ(J269, J$7:J$375,0)</f>
        <v>294</v>
      </c>
      <c r="L269" s="2">
        <v>115</v>
      </c>
      <c r="M269" s="2">
        <f t="shared" si="3660"/>
        <v>263</v>
      </c>
      <c r="N269" s="2">
        <v>31</v>
      </c>
      <c r="O269" s="2">
        <f t="shared" ref="O269:Q269" si="3661">_xlfn.RANK.EQ(N269, N$7:N$375,0)</f>
        <v>277</v>
      </c>
      <c r="P269" s="2">
        <v>99</v>
      </c>
      <c r="Q269" s="2">
        <f t="shared" si="3661"/>
        <v>264</v>
      </c>
      <c r="R269" s="4">
        <v>0.313</v>
      </c>
      <c r="S269" s="2">
        <f t="shared" ref="S269:U269" si="3662">_xlfn.RANK.EQ(R269, R$7:R$375,0)</f>
        <v>319</v>
      </c>
      <c r="T269" s="2">
        <v>12</v>
      </c>
      <c r="U269" s="2">
        <f t="shared" si="3662"/>
        <v>288</v>
      </c>
      <c r="V269" s="2">
        <v>38</v>
      </c>
      <c r="W269" s="2">
        <f t="shared" ref="W269:Y269" si="3663">_xlfn.RANK.EQ(V269, V$7:V$375,0)</f>
        <v>271</v>
      </c>
      <c r="X269" s="4">
        <v>0.316</v>
      </c>
      <c r="Y269" s="2">
        <f t="shared" si="3663"/>
        <v>341</v>
      </c>
      <c r="Z269" s="2">
        <v>19</v>
      </c>
      <c r="AA269" s="2">
        <f t="shared" ref="AA269:AC269" si="3664">_xlfn.RANK.EQ(Z269, Z$7:Z$375,0)</f>
        <v>213</v>
      </c>
      <c r="AB269" s="2">
        <v>61</v>
      </c>
      <c r="AC269" s="2">
        <f t="shared" si="3664"/>
        <v>217</v>
      </c>
      <c r="AD269" s="4">
        <v>0.311</v>
      </c>
      <c r="AE269" s="2">
        <f t="shared" ref="AE269:AG269" si="3665">_xlfn.RANK.EQ(AD269, AD$7:AD$375,0)</f>
        <v>198</v>
      </c>
      <c r="AF269" s="2">
        <v>34</v>
      </c>
      <c r="AG269" s="2">
        <f t="shared" si="3665"/>
        <v>160</v>
      </c>
      <c r="AH269" s="2">
        <v>43</v>
      </c>
      <c r="AI269" s="2">
        <f t="shared" ref="AI269:AK269" si="3666">_xlfn.RANK.EQ(AH269, AH$7:AH$375,0)</f>
        <v>167</v>
      </c>
      <c r="AJ269" s="4">
        <v>0.79100000000000004</v>
      </c>
      <c r="AK269" s="2">
        <f t="shared" si="3666"/>
        <v>98</v>
      </c>
      <c r="AL269" s="2">
        <v>22</v>
      </c>
      <c r="AM269" s="2">
        <f t="shared" ref="AM269:AO269" si="3667">_xlfn.RANK.EQ(AL269, AL$7:AL$375,0)</f>
        <v>188</v>
      </c>
      <c r="AN269" s="2">
        <v>47</v>
      </c>
      <c r="AO269" s="2">
        <f t="shared" si="3667"/>
        <v>203</v>
      </c>
      <c r="AP269" s="2">
        <v>69</v>
      </c>
      <c r="AQ269" s="2">
        <f t="shared" ref="AQ269:AS269" si="3668">_xlfn.RANK.EQ(AP269, AP$7:AP$375,0)</f>
        <v>207</v>
      </c>
      <c r="AR269" s="2">
        <v>17</v>
      </c>
      <c r="AS269" s="2">
        <f t="shared" si="3668"/>
        <v>289</v>
      </c>
      <c r="AT269" s="2">
        <v>26</v>
      </c>
      <c r="AU269" s="2">
        <f t="shared" ref="AU269:AW269" si="3669">_xlfn.RANK.EQ(AT269, AT$7:AT$375,0)</f>
        <v>225</v>
      </c>
      <c r="AV269" s="2">
        <v>6</v>
      </c>
      <c r="AW269" s="2">
        <f t="shared" si="3669"/>
        <v>293</v>
      </c>
      <c r="AX269" s="2">
        <v>8</v>
      </c>
      <c r="AY269" s="2">
        <f t="shared" ref="AY269:BA269" si="3670">_xlfn.RANK.EQ(AX269, AX$7:AX$375,0)</f>
        <v>125</v>
      </c>
      <c r="AZ269" s="2">
        <v>5</v>
      </c>
      <c r="BA269" s="2">
        <f t="shared" si="3670"/>
        <v>227</v>
      </c>
      <c r="BB269" s="2">
        <v>62</v>
      </c>
      <c r="BC269" s="2">
        <f t="shared" ref="BC269:BE269" si="3671">_xlfn.RANK.EQ(BB269, BB$7:BB$375,0)</f>
        <v>241</v>
      </c>
      <c r="BD269" s="2">
        <v>37</v>
      </c>
      <c r="BE269" s="2">
        <f t="shared" si="3671"/>
        <v>213</v>
      </c>
      <c r="BF269" s="2">
        <v>82</v>
      </c>
      <c r="BG269" s="2">
        <f t="shared" ref="BG269:BI269" si="3672">_xlfn.RANK.EQ(BF269, BF$7:BF$375,0)</f>
        <v>250</v>
      </c>
      <c r="BH269" s="2">
        <v>36</v>
      </c>
      <c r="BI269" s="2">
        <f t="shared" si="3672"/>
        <v>109</v>
      </c>
    </row>
    <row r="270" spans="1:61" x14ac:dyDescent="0.55000000000000004">
      <c r="A270" s="2">
        <v>264</v>
      </c>
      <c r="B270" s="2" t="s">
        <v>320</v>
      </c>
      <c r="C270" s="2" t="s">
        <v>74</v>
      </c>
      <c r="D270" s="2">
        <v>40</v>
      </c>
      <c r="E270" s="2">
        <f t="shared" si="3588"/>
        <v>246</v>
      </c>
      <c r="F270" s="2">
        <v>6</v>
      </c>
      <c r="G270" s="2">
        <f t="shared" ref="G270:I270" si="3673">_xlfn.RANK.EQ(F270, F$7:F$375,0)</f>
        <v>228</v>
      </c>
      <c r="H270" s="3">
        <v>20.280555555555555</v>
      </c>
      <c r="I270" s="2">
        <f t="shared" si="3673"/>
        <v>255</v>
      </c>
      <c r="J270" s="5">
        <v>0.50694444444444442</v>
      </c>
      <c r="K270" s="2">
        <f t="shared" ref="K270:M270" si="3674">_xlfn.RANK.EQ(J270, J$7:J$375,0)</f>
        <v>248</v>
      </c>
      <c r="L270" s="2">
        <v>113</v>
      </c>
      <c r="M270" s="2">
        <f t="shared" si="3674"/>
        <v>264</v>
      </c>
      <c r="N270" s="2">
        <v>45</v>
      </c>
      <c r="O270" s="2">
        <f t="shared" ref="O270:Q270" si="3675">_xlfn.RANK.EQ(N270, N$7:N$375,0)</f>
        <v>254</v>
      </c>
      <c r="P270" s="2">
        <v>114</v>
      </c>
      <c r="Q270" s="2">
        <f t="shared" si="3675"/>
        <v>255</v>
      </c>
      <c r="R270" s="4">
        <v>0.39500000000000002</v>
      </c>
      <c r="S270" s="2">
        <f t="shared" ref="S270:U270" si="3676">_xlfn.RANK.EQ(R270, R$7:R$375,0)</f>
        <v>211</v>
      </c>
      <c r="T270" s="2">
        <v>32</v>
      </c>
      <c r="U270" s="2">
        <f t="shared" si="3676"/>
        <v>222</v>
      </c>
      <c r="V270" s="2">
        <v>56</v>
      </c>
      <c r="W270" s="2">
        <f t="shared" ref="W270:Y270" si="3677">_xlfn.RANK.EQ(V270, V$7:V$375,0)</f>
        <v>240</v>
      </c>
      <c r="X270" s="4">
        <v>0.57099999999999995</v>
      </c>
      <c r="Y270" s="2">
        <f t="shared" si="3677"/>
        <v>80</v>
      </c>
      <c r="Z270" s="2">
        <v>13</v>
      </c>
      <c r="AA270" s="2">
        <f t="shared" ref="AA270:AC270" si="3678">_xlfn.RANK.EQ(Z270, Z$7:Z$375,0)</f>
        <v>238</v>
      </c>
      <c r="AB270" s="2">
        <v>58</v>
      </c>
      <c r="AC270" s="2">
        <f t="shared" si="3678"/>
        <v>222</v>
      </c>
      <c r="AD270" s="4">
        <v>0.224</v>
      </c>
      <c r="AE270" s="2">
        <f t="shared" ref="AE270:AG270" si="3679">_xlfn.RANK.EQ(AD270, AD$7:AD$375,0)</f>
        <v>286</v>
      </c>
      <c r="AF270" s="2">
        <v>10</v>
      </c>
      <c r="AG270" s="2">
        <f t="shared" si="3679"/>
        <v>271</v>
      </c>
      <c r="AH270" s="2">
        <v>22</v>
      </c>
      <c r="AI270" s="2">
        <f t="shared" ref="AI270:AK270" si="3680">_xlfn.RANK.EQ(AH270, AH$7:AH$375,0)</f>
        <v>238</v>
      </c>
      <c r="AJ270" s="4">
        <v>0.45500000000000002</v>
      </c>
      <c r="AK270" s="2">
        <f t="shared" si="3680"/>
        <v>334</v>
      </c>
      <c r="AL270" s="2">
        <v>14</v>
      </c>
      <c r="AM270" s="2">
        <f t="shared" ref="AM270:AO270" si="3681">_xlfn.RANK.EQ(AL270, AL$7:AL$375,0)</f>
        <v>249</v>
      </c>
      <c r="AN270" s="2">
        <v>54</v>
      </c>
      <c r="AO270" s="2">
        <f t="shared" si="3681"/>
        <v>190</v>
      </c>
      <c r="AP270" s="2">
        <v>68</v>
      </c>
      <c r="AQ270" s="2">
        <f t="shared" ref="AQ270:AS270" si="3682">_xlfn.RANK.EQ(AP270, AP$7:AP$375,0)</f>
        <v>209</v>
      </c>
      <c r="AR270" s="2">
        <v>25</v>
      </c>
      <c r="AS270" s="2">
        <f t="shared" si="3682"/>
        <v>257</v>
      </c>
      <c r="AT270" s="2">
        <v>25</v>
      </c>
      <c r="AU270" s="2">
        <f t="shared" ref="AU270:AW270" si="3683">_xlfn.RANK.EQ(AT270, AT$7:AT$375,0)</f>
        <v>231</v>
      </c>
      <c r="AV270" s="2">
        <v>20</v>
      </c>
      <c r="AW270" s="2">
        <f t="shared" si="3683"/>
        <v>207</v>
      </c>
      <c r="AX270" s="2">
        <v>7</v>
      </c>
      <c r="AY270" s="2">
        <f t="shared" ref="AY270:BA270" si="3684">_xlfn.RANK.EQ(AX270, AX$7:AX$375,0)</f>
        <v>138</v>
      </c>
      <c r="AZ270" s="2">
        <v>7</v>
      </c>
      <c r="BA270" s="2">
        <f t="shared" si="3684"/>
        <v>195</v>
      </c>
      <c r="BB270" s="2">
        <v>71</v>
      </c>
      <c r="BC270" s="2">
        <f t="shared" ref="BC270:BE270" si="3685">_xlfn.RANK.EQ(BB270, BB$7:BB$375,0)</f>
        <v>211</v>
      </c>
      <c r="BD270" s="2">
        <v>28</v>
      </c>
      <c r="BE270" s="2">
        <f t="shared" si="3685"/>
        <v>238</v>
      </c>
      <c r="BF270" s="2">
        <v>77</v>
      </c>
      <c r="BG270" s="2">
        <f t="shared" ref="BG270:BI270" si="3686">_xlfn.RANK.EQ(BF270, BF$7:BF$375,0)</f>
        <v>254</v>
      </c>
      <c r="BH270" s="2">
        <v>-127</v>
      </c>
      <c r="BI270" s="2">
        <f t="shared" si="3686"/>
        <v>303</v>
      </c>
    </row>
    <row r="271" spans="1:61" x14ac:dyDescent="0.55000000000000004">
      <c r="A271" s="2">
        <v>265</v>
      </c>
      <c r="B271" s="2" t="s">
        <v>321</v>
      </c>
      <c r="C271" s="2" t="s">
        <v>74</v>
      </c>
      <c r="D271" s="2">
        <v>56</v>
      </c>
      <c r="E271" s="2">
        <f t="shared" si="3588"/>
        <v>124</v>
      </c>
      <c r="F271" s="2">
        <v>1</v>
      </c>
      <c r="G271" s="2">
        <f t="shared" ref="G271:I271" si="3687">_xlfn.RANK.EQ(F271, F$7:F$375,0)</f>
        <v>272</v>
      </c>
      <c r="H271" s="3">
        <v>27.735416666666666</v>
      </c>
      <c r="I271" s="2">
        <f t="shared" si="3687"/>
        <v>217</v>
      </c>
      <c r="J271" s="5">
        <v>0.49513888888888891</v>
      </c>
      <c r="K271" s="2">
        <f t="shared" ref="K271:M271" si="3688">_xlfn.RANK.EQ(J271, J$7:J$375,0)</f>
        <v>250</v>
      </c>
      <c r="L271" s="2">
        <v>111</v>
      </c>
      <c r="M271" s="2">
        <f t="shared" si="3688"/>
        <v>265</v>
      </c>
      <c r="N271" s="2">
        <v>39</v>
      </c>
      <c r="O271" s="2">
        <f t="shared" ref="O271:Q271" si="3689">_xlfn.RANK.EQ(N271, N$7:N$375,0)</f>
        <v>264</v>
      </c>
      <c r="P271" s="2">
        <v>122</v>
      </c>
      <c r="Q271" s="2">
        <f t="shared" si="3689"/>
        <v>246</v>
      </c>
      <c r="R271" s="4">
        <v>0.32</v>
      </c>
      <c r="S271" s="2">
        <f t="shared" ref="S271:U271" si="3690">_xlfn.RANK.EQ(R271, R$7:R$375,0)</f>
        <v>313</v>
      </c>
      <c r="T271" s="2">
        <v>19</v>
      </c>
      <c r="U271" s="2">
        <f t="shared" si="3690"/>
        <v>263</v>
      </c>
      <c r="V271" s="2">
        <v>54</v>
      </c>
      <c r="W271" s="2">
        <f t="shared" ref="W271:Y271" si="3691">_xlfn.RANK.EQ(V271, V$7:V$375,0)</f>
        <v>242</v>
      </c>
      <c r="X271" s="4">
        <v>0.35199999999999998</v>
      </c>
      <c r="Y271" s="2">
        <f t="shared" si="3691"/>
        <v>325</v>
      </c>
      <c r="Z271" s="2">
        <v>20</v>
      </c>
      <c r="AA271" s="2">
        <f t="shared" ref="AA271:AC271" si="3692">_xlfn.RANK.EQ(Z271, Z$7:Z$375,0)</f>
        <v>208</v>
      </c>
      <c r="AB271" s="2">
        <v>68</v>
      </c>
      <c r="AC271" s="2">
        <f t="shared" si="3692"/>
        <v>207</v>
      </c>
      <c r="AD271" s="4">
        <v>0.29399999999999998</v>
      </c>
      <c r="AE271" s="2">
        <f t="shared" ref="AE271:AG271" si="3693">_xlfn.RANK.EQ(AD271, AD$7:AD$375,0)</f>
        <v>222</v>
      </c>
      <c r="AF271" s="2">
        <v>13</v>
      </c>
      <c r="AG271" s="2">
        <f t="shared" si="3693"/>
        <v>248</v>
      </c>
      <c r="AH271" s="2">
        <v>26</v>
      </c>
      <c r="AI271" s="2">
        <f t="shared" ref="AI271:AK271" si="3694">_xlfn.RANK.EQ(AH271, AH$7:AH$375,0)</f>
        <v>222</v>
      </c>
      <c r="AJ271" s="4">
        <v>0.5</v>
      </c>
      <c r="AK271" s="2">
        <f t="shared" si="3694"/>
        <v>306</v>
      </c>
      <c r="AL271" s="2">
        <v>5</v>
      </c>
      <c r="AM271" s="2">
        <f t="shared" ref="AM271:AO271" si="3695">_xlfn.RANK.EQ(AL271, AL$7:AL$375,0)</f>
        <v>298</v>
      </c>
      <c r="AN271" s="2">
        <v>24</v>
      </c>
      <c r="AO271" s="2">
        <f t="shared" si="3695"/>
        <v>278</v>
      </c>
      <c r="AP271" s="2">
        <v>29</v>
      </c>
      <c r="AQ271" s="2">
        <f t="shared" ref="AQ271:AS271" si="3696">_xlfn.RANK.EQ(AP271, AP$7:AP$375,0)</f>
        <v>289</v>
      </c>
      <c r="AR271" s="2">
        <v>90</v>
      </c>
      <c r="AS271" s="2">
        <f t="shared" si="3696"/>
        <v>144</v>
      </c>
      <c r="AT271" s="2">
        <v>35</v>
      </c>
      <c r="AU271" s="2">
        <f t="shared" ref="AU271:AW271" si="3697">_xlfn.RANK.EQ(AT271, AT$7:AT$375,0)</f>
        <v>193</v>
      </c>
      <c r="AV271" s="2">
        <v>8</v>
      </c>
      <c r="AW271" s="2">
        <f t="shared" si="3697"/>
        <v>281</v>
      </c>
      <c r="AX271" s="2">
        <v>0</v>
      </c>
      <c r="AY271" s="2">
        <f t="shared" ref="AY271:BA271" si="3698">_xlfn.RANK.EQ(AX271, AX$7:AX$375,0)</f>
        <v>298</v>
      </c>
      <c r="AZ271" s="2">
        <v>9</v>
      </c>
      <c r="BA271" s="2">
        <f t="shared" si="3698"/>
        <v>160</v>
      </c>
      <c r="BB271" s="2">
        <v>57</v>
      </c>
      <c r="BC271" s="2">
        <f t="shared" ref="BC271:BE271" si="3699">_xlfn.RANK.EQ(BB271, BB$7:BB$375,0)</f>
        <v>252</v>
      </c>
      <c r="BD271" s="2">
        <v>45</v>
      </c>
      <c r="BE271" s="2">
        <f t="shared" si="3699"/>
        <v>186</v>
      </c>
      <c r="BF271" s="2">
        <v>86</v>
      </c>
      <c r="BG271" s="2">
        <f t="shared" ref="BG271:BI271" si="3700">_xlfn.RANK.EQ(BF271, BF$7:BF$375,0)</f>
        <v>247</v>
      </c>
      <c r="BH271" s="2">
        <v>-129</v>
      </c>
      <c r="BI271" s="2">
        <f t="shared" si="3700"/>
        <v>305</v>
      </c>
    </row>
    <row r="272" spans="1:61" x14ac:dyDescent="0.55000000000000004">
      <c r="A272" s="2">
        <v>266</v>
      </c>
      <c r="B272" s="2" t="s">
        <v>322</v>
      </c>
      <c r="C272" s="2" t="s">
        <v>44</v>
      </c>
      <c r="D272" s="2">
        <v>55</v>
      </c>
      <c r="E272" s="2">
        <f t="shared" si="3588"/>
        <v>139</v>
      </c>
      <c r="F272" s="2">
        <v>2</v>
      </c>
      <c r="G272" s="2">
        <f t="shared" ref="G272:I272" si="3701">_xlfn.RANK.EQ(F272, F$7:F$375,0)</f>
        <v>256</v>
      </c>
      <c r="H272" s="3">
        <v>21.87361111111111</v>
      </c>
      <c r="I272" s="2">
        <f t="shared" si="3701"/>
        <v>243</v>
      </c>
      <c r="J272" s="5">
        <v>0.3972222222222222</v>
      </c>
      <c r="K272" s="2">
        <f t="shared" ref="K272:M272" si="3702">_xlfn.RANK.EQ(J272, J$7:J$375,0)</f>
        <v>281</v>
      </c>
      <c r="L272" s="2">
        <v>110</v>
      </c>
      <c r="M272" s="2">
        <f t="shared" si="3702"/>
        <v>266</v>
      </c>
      <c r="N272" s="2">
        <v>37</v>
      </c>
      <c r="O272" s="2">
        <f t="shared" ref="O272:Q272" si="3703">_xlfn.RANK.EQ(N272, N$7:N$375,0)</f>
        <v>267</v>
      </c>
      <c r="P272" s="2">
        <v>123</v>
      </c>
      <c r="Q272" s="2">
        <f t="shared" si="3703"/>
        <v>245</v>
      </c>
      <c r="R272" s="4">
        <v>0.30099999999999999</v>
      </c>
      <c r="S272" s="2">
        <f t="shared" ref="S272:U272" si="3704">_xlfn.RANK.EQ(R272, R$7:R$375,0)</f>
        <v>329</v>
      </c>
      <c r="T272" s="2">
        <v>7</v>
      </c>
      <c r="U272" s="2">
        <f t="shared" si="3704"/>
        <v>305</v>
      </c>
      <c r="V272" s="2">
        <v>20</v>
      </c>
      <c r="W272" s="2">
        <f t="shared" ref="W272:Y272" si="3705">_xlfn.RANK.EQ(V272, V$7:V$375,0)</f>
        <v>300</v>
      </c>
      <c r="X272" s="4">
        <v>0.35</v>
      </c>
      <c r="Y272" s="2">
        <f t="shared" si="3705"/>
        <v>326</v>
      </c>
      <c r="Z272" s="2">
        <v>30</v>
      </c>
      <c r="AA272" s="2">
        <f t="shared" ref="AA272:AC272" si="3706">_xlfn.RANK.EQ(Z272, Z$7:Z$375,0)</f>
        <v>174</v>
      </c>
      <c r="AB272" s="2">
        <v>103</v>
      </c>
      <c r="AC272" s="2">
        <f t="shared" si="3706"/>
        <v>164</v>
      </c>
      <c r="AD272" s="4">
        <v>0.29099999999999998</v>
      </c>
      <c r="AE272" s="2">
        <f t="shared" ref="AE272:AG272" si="3707">_xlfn.RANK.EQ(AD272, AD$7:AD$375,0)</f>
        <v>229</v>
      </c>
      <c r="AF272" s="2">
        <v>6</v>
      </c>
      <c r="AG272" s="2">
        <f t="shared" si="3707"/>
        <v>292</v>
      </c>
      <c r="AH272" s="2">
        <v>10</v>
      </c>
      <c r="AI272" s="2">
        <f t="shared" ref="AI272:AK272" si="3708">_xlfn.RANK.EQ(AH272, AH$7:AH$375,0)</f>
        <v>293</v>
      </c>
      <c r="AJ272" s="4">
        <v>0.6</v>
      </c>
      <c r="AK272" s="2">
        <f t="shared" si="3708"/>
        <v>273</v>
      </c>
      <c r="AL272" s="2">
        <v>20</v>
      </c>
      <c r="AM272" s="2">
        <f t="shared" ref="AM272:AO272" si="3709">_xlfn.RANK.EQ(AL272, AL$7:AL$375,0)</f>
        <v>198</v>
      </c>
      <c r="AN272" s="2">
        <v>44</v>
      </c>
      <c r="AO272" s="2">
        <f t="shared" si="3709"/>
        <v>214</v>
      </c>
      <c r="AP272" s="2">
        <v>64</v>
      </c>
      <c r="AQ272" s="2">
        <f t="shared" ref="AQ272:AS272" si="3710">_xlfn.RANK.EQ(AP272, AP$7:AP$375,0)</f>
        <v>217</v>
      </c>
      <c r="AR272" s="2">
        <v>11</v>
      </c>
      <c r="AS272" s="2">
        <f t="shared" si="3710"/>
        <v>309</v>
      </c>
      <c r="AT272" s="2">
        <v>26</v>
      </c>
      <c r="AU272" s="2">
        <f t="shared" ref="AU272:AW272" si="3711">_xlfn.RANK.EQ(AT272, AT$7:AT$375,0)</f>
        <v>225</v>
      </c>
      <c r="AV272" s="2">
        <v>12</v>
      </c>
      <c r="AW272" s="2">
        <f t="shared" si="3711"/>
        <v>260</v>
      </c>
      <c r="AX272" s="2">
        <v>6</v>
      </c>
      <c r="AY272" s="2">
        <f t="shared" ref="AY272:BA272" si="3712">_xlfn.RANK.EQ(AX272, AX$7:AX$375,0)</f>
        <v>156</v>
      </c>
      <c r="AZ272" s="2">
        <v>2</v>
      </c>
      <c r="BA272" s="2">
        <f t="shared" si="3712"/>
        <v>285</v>
      </c>
      <c r="BB272" s="2">
        <v>94</v>
      </c>
      <c r="BC272" s="2">
        <f t="shared" ref="BC272:BE272" si="3713">_xlfn.RANK.EQ(BB272, BB$7:BB$375,0)</f>
        <v>155</v>
      </c>
      <c r="BD272" s="2">
        <v>15</v>
      </c>
      <c r="BE272" s="2">
        <f t="shared" si="3713"/>
        <v>282</v>
      </c>
      <c r="BF272" s="2">
        <v>5</v>
      </c>
      <c r="BG272" s="2">
        <f t="shared" ref="BG272:BI272" si="3714">_xlfn.RANK.EQ(BF272, BF$7:BF$375,0)</f>
        <v>332</v>
      </c>
      <c r="BH272" s="2">
        <v>-271</v>
      </c>
      <c r="BI272" s="2">
        <f t="shared" si="3714"/>
        <v>357</v>
      </c>
    </row>
    <row r="273" spans="1:61" x14ac:dyDescent="0.55000000000000004">
      <c r="A273" s="2">
        <v>266</v>
      </c>
      <c r="B273" s="2" t="s">
        <v>323</v>
      </c>
      <c r="C273" s="2" t="s">
        <v>32</v>
      </c>
      <c r="D273" s="2">
        <v>53</v>
      </c>
      <c r="E273" s="2">
        <f t="shared" si="3588"/>
        <v>166</v>
      </c>
      <c r="F273" s="2">
        <v>2</v>
      </c>
      <c r="G273" s="2">
        <f t="shared" ref="G273:I273" si="3715">_xlfn.RANK.EQ(F273, F$7:F$375,0)</f>
        <v>256</v>
      </c>
      <c r="H273" s="3">
        <v>19.346527777777776</v>
      </c>
      <c r="I273" s="2">
        <f t="shared" si="3715"/>
        <v>259</v>
      </c>
      <c r="J273" s="5">
        <v>0.36458333333333331</v>
      </c>
      <c r="K273" s="2">
        <f t="shared" ref="K273:M273" si="3716">_xlfn.RANK.EQ(J273, J$7:J$375,0)</f>
        <v>291</v>
      </c>
      <c r="L273" s="2">
        <v>110</v>
      </c>
      <c r="M273" s="2">
        <f t="shared" si="3716"/>
        <v>266</v>
      </c>
      <c r="N273" s="2">
        <v>34</v>
      </c>
      <c r="O273" s="2">
        <f t="shared" ref="O273:Q273" si="3717">_xlfn.RANK.EQ(N273, N$7:N$375,0)</f>
        <v>271</v>
      </c>
      <c r="P273" s="2">
        <v>109</v>
      </c>
      <c r="Q273" s="2">
        <f t="shared" si="3717"/>
        <v>258</v>
      </c>
      <c r="R273" s="4">
        <v>0.312</v>
      </c>
      <c r="S273" s="2">
        <f t="shared" ref="S273:U273" si="3718">_xlfn.RANK.EQ(R273, R$7:R$375,0)</f>
        <v>322</v>
      </c>
      <c r="T273" s="2">
        <v>12</v>
      </c>
      <c r="U273" s="2">
        <f t="shared" si="3718"/>
        <v>288</v>
      </c>
      <c r="V273" s="2">
        <v>27</v>
      </c>
      <c r="W273" s="2">
        <f t="shared" ref="W273:Y273" si="3719">_xlfn.RANK.EQ(V273, V$7:V$375,0)</f>
        <v>287</v>
      </c>
      <c r="X273" s="4">
        <v>0.44400000000000001</v>
      </c>
      <c r="Y273" s="2">
        <f t="shared" si="3719"/>
        <v>250</v>
      </c>
      <c r="Z273" s="2">
        <v>22</v>
      </c>
      <c r="AA273" s="2">
        <f t="shared" ref="AA273:AC273" si="3720">_xlfn.RANK.EQ(Z273, Z$7:Z$375,0)</f>
        <v>203</v>
      </c>
      <c r="AB273" s="2">
        <v>82</v>
      </c>
      <c r="AC273" s="2">
        <f t="shared" si="3720"/>
        <v>193</v>
      </c>
      <c r="AD273" s="4">
        <v>0.26800000000000002</v>
      </c>
      <c r="AE273" s="2">
        <f t="shared" ref="AE273:AG273" si="3721">_xlfn.RANK.EQ(AD273, AD$7:AD$375,0)</f>
        <v>254</v>
      </c>
      <c r="AF273" s="2">
        <v>20</v>
      </c>
      <c r="AG273" s="2">
        <f t="shared" si="3721"/>
        <v>212</v>
      </c>
      <c r="AH273" s="2">
        <v>26</v>
      </c>
      <c r="AI273" s="2">
        <f t="shared" ref="AI273:AK273" si="3722">_xlfn.RANK.EQ(AH273, AH$7:AH$375,0)</f>
        <v>222</v>
      </c>
      <c r="AJ273" s="4">
        <v>0.76900000000000002</v>
      </c>
      <c r="AK273" s="2">
        <f t="shared" si="3722"/>
        <v>124</v>
      </c>
      <c r="AL273" s="2">
        <v>19</v>
      </c>
      <c r="AM273" s="2">
        <f t="shared" ref="AM273:AO273" si="3723">_xlfn.RANK.EQ(AL273, AL$7:AL$375,0)</f>
        <v>205</v>
      </c>
      <c r="AN273" s="2">
        <v>45</v>
      </c>
      <c r="AO273" s="2">
        <f t="shared" si="3723"/>
        <v>210</v>
      </c>
      <c r="AP273" s="2">
        <v>64</v>
      </c>
      <c r="AQ273" s="2">
        <f t="shared" ref="AQ273:AS273" si="3724">_xlfn.RANK.EQ(AP273, AP$7:AP$375,0)</f>
        <v>217</v>
      </c>
      <c r="AR273" s="2">
        <v>18</v>
      </c>
      <c r="AS273" s="2">
        <f t="shared" si="3724"/>
        <v>285</v>
      </c>
      <c r="AT273" s="2">
        <v>11</v>
      </c>
      <c r="AU273" s="2">
        <f t="shared" ref="AU273:AW273" si="3725">_xlfn.RANK.EQ(AT273, AT$7:AT$375,0)</f>
        <v>301</v>
      </c>
      <c r="AV273" s="2">
        <v>11</v>
      </c>
      <c r="AW273" s="2">
        <f t="shared" si="3725"/>
        <v>266</v>
      </c>
      <c r="AX273" s="2">
        <v>9</v>
      </c>
      <c r="AY273" s="2">
        <f t="shared" ref="AY273:BA273" si="3726">_xlfn.RANK.EQ(AX273, AX$7:AX$375,0)</f>
        <v>110</v>
      </c>
      <c r="AZ273" s="2">
        <v>4</v>
      </c>
      <c r="BA273" s="2">
        <f t="shared" si="3726"/>
        <v>246</v>
      </c>
      <c r="BB273" s="2">
        <v>65</v>
      </c>
      <c r="BC273" s="2">
        <f t="shared" ref="BC273:BE273" si="3727">_xlfn.RANK.EQ(BB273, BB$7:BB$375,0)</f>
        <v>229</v>
      </c>
      <c r="BD273" s="2">
        <v>25</v>
      </c>
      <c r="BE273" s="2">
        <f t="shared" si="3727"/>
        <v>250</v>
      </c>
      <c r="BF273" s="2">
        <v>75</v>
      </c>
      <c r="BG273" s="2">
        <f t="shared" ref="BG273:BI273" si="3728">_xlfn.RANK.EQ(BF273, BF$7:BF$375,0)</f>
        <v>257</v>
      </c>
      <c r="BH273" s="2">
        <v>-39</v>
      </c>
      <c r="BI273" s="2">
        <f t="shared" si="3728"/>
        <v>218</v>
      </c>
    </row>
    <row r="274" spans="1:61" x14ac:dyDescent="0.55000000000000004">
      <c r="A274" s="2">
        <v>268</v>
      </c>
      <c r="B274" s="2" t="s">
        <v>324</v>
      </c>
      <c r="C274" s="2" t="s">
        <v>48</v>
      </c>
      <c r="D274" s="2">
        <v>45</v>
      </c>
      <c r="E274" s="2">
        <f t="shared" si="3588"/>
        <v>217</v>
      </c>
      <c r="F274" s="2">
        <v>0</v>
      </c>
      <c r="G274" s="2">
        <f t="shared" ref="G274:I274" si="3729">_xlfn.RANK.EQ(F274, F$7:F$375,0)</f>
        <v>291</v>
      </c>
      <c r="H274" s="3">
        <v>13.886805555555556</v>
      </c>
      <c r="I274" s="2">
        <f t="shared" si="3729"/>
        <v>279</v>
      </c>
      <c r="J274" s="5">
        <v>0.30833333333333335</v>
      </c>
      <c r="K274" s="2">
        <f t="shared" ref="K274:M274" si="3730">_xlfn.RANK.EQ(J274, J$7:J$375,0)</f>
        <v>305</v>
      </c>
      <c r="L274" s="2">
        <v>105</v>
      </c>
      <c r="M274" s="2">
        <f t="shared" si="3730"/>
        <v>268</v>
      </c>
      <c r="N274" s="2">
        <v>36</v>
      </c>
      <c r="O274" s="2">
        <f t="shared" ref="O274:Q274" si="3731">_xlfn.RANK.EQ(N274, N$7:N$375,0)</f>
        <v>269</v>
      </c>
      <c r="P274" s="2">
        <v>100</v>
      </c>
      <c r="Q274" s="2">
        <f t="shared" si="3731"/>
        <v>263</v>
      </c>
      <c r="R274" s="4">
        <v>0.36</v>
      </c>
      <c r="S274" s="2">
        <f t="shared" ref="S274:U274" si="3732">_xlfn.RANK.EQ(R274, R$7:R$375,0)</f>
        <v>265</v>
      </c>
      <c r="T274" s="2">
        <v>20</v>
      </c>
      <c r="U274" s="2">
        <f t="shared" si="3732"/>
        <v>259</v>
      </c>
      <c r="V274" s="2">
        <v>38</v>
      </c>
      <c r="W274" s="2">
        <f t="shared" ref="W274:Y274" si="3733">_xlfn.RANK.EQ(V274, V$7:V$375,0)</f>
        <v>271</v>
      </c>
      <c r="X274" s="4">
        <v>0.52600000000000002</v>
      </c>
      <c r="Y274" s="2">
        <f t="shared" si="3733"/>
        <v>145</v>
      </c>
      <c r="Z274" s="2">
        <v>16</v>
      </c>
      <c r="AA274" s="2">
        <f t="shared" ref="AA274:AC274" si="3734">_xlfn.RANK.EQ(Z274, Z$7:Z$375,0)</f>
        <v>222</v>
      </c>
      <c r="AB274" s="2">
        <v>62</v>
      </c>
      <c r="AC274" s="2">
        <f t="shared" si="3734"/>
        <v>215</v>
      </c>
      <c r="AD274" s="4">
        <v>0.25800000000000001</v>
      </c>
      <c r="AE274" s="2">
        <f t="shared" ref="AE274:AG274" si="3735">_xlfn.RANK.EQ(AD274, AD$7:AD$375,0)</f>
        <v>267</v>
      </c>
      <c r="AF274" s="2">
        <v>17</v>
      </c>
      <c r="AG274" s="2">
        <f t="shared" si="3735"/>
        <v>229</v>
      </c>
      <c r="AH274" s="2">
        <v>21</v>
      </c>
      <c r="AI274" s="2">
        <f t="shared" ref="AI274:AK274" si="3736">_xlfn.RANK.EQ(AH274, AH$7:AH$375,0)</f>
        <v>240</v>
      </c>
      <c r="AJ274" s="4">
        <v>0.81</v>
      </c>
      <c r="AK274" s="2">
        <f t="shared" si="3736"/>
        <v>72</v>
      </c>
      <c r="AL274" s="2">
        <v>8</v>
      </c>
      <c r="AM274" s="2">
        <f t="shared" ref="AM274:AO274" si="3737">_xlfn.RANK.EQ(AL274, AL$7:AL$375,0)</f>
        <v>286</v>
      </c>
      <c r="AN274" s="2">
        <v>18</v>
      </c>
      <c r="AO274" s="2">
        <f t="shared" si="3737"/>
        <v>293</v>
      </c>
      <c r="AP274" s="2">
        <v>26</v>
      </c>
      <c r="AQ274" s="2">
        <f t="shared" ref="AQ274:AS274" si="3738">_xlfn.RANK.EQ(AP274, AP$7:AP$375,0)</f>
        <v>294</v>
      </c>
      <c r="AR274" s="2">
        <v>30</v>
      </c>
      <c r="AS274" s="2">
        <f t="shared" si="3738"/>
        <v>249</v>
      </c>
      <c r="AT274" s="2">
        <v>18</v>
      </c>
      <c r="AU274" s="2">
        <f t="shared" ref="AU274:AW274" si="3739">_xlfn.RANK.EQ(AT274, AT$7:AT$375,0)</f>
        <v>262</v>
      </c>
      <c r="AV274" s="2">
        <v>12</v>
      </c>
      <c r="AW274" s="2">
        <f t="shared" si="3739"/>
        <v>260</v>
      </c>
      <c r="AX274" s="2">
        <v>2</v>
      </c>
      <c r="AY274" s="2">
        <f t="shared" ref="AY274:BA274" si="3740">_xlfn.RANK.EQ(AX274, AX$7:AX$375,0)</f>
        <v>234</v>
      </c>
      <c r="AZ274" s="2">
        <v>3</v>
      </c>
      <c r="BA274" s="2">
        <f t="shared" si="3740"/>
        <v>267</v>
      </c>
      <c r="BB274" s="2">
        <v>26</v>
      </c>
      <c r="BC274" s="2">
        <f t="shared" ref="BC274:BE274" si="3741">_xlfn.RANK.EQ(BB274, BB$7:BB$375,0)</f>
        <v>308</v>
      </c>
      <c r="BD274" s="2">
        <v>15</v>
      </c>
      <c r="BE274" s="2">
        <f t="shared" si="3741"/>
        <v>282</v>
      </c>
      <c r="BF274" s="2">
        <v>75</v>
      </c>
      <c r="BG274" s="2">
        <f t="shared" ref="BG274:BI274" si="3742">_xlfn.RANK.EQ(BF274, BF$7:BF$375,0)</f>
        <v>257</v>
      </c>
      <c r="BH274" s="2">
        <v>-135</v>
      </c>
      <c r="BI274" s="2">
        <f t="shared" si="3742"/>
        <v>311</v>
      </c>
    </row>
    <row r="275" spans="1:61" x14ac:dyDescent="0.55000000000000004">
      <c r="A275" s="2">
        <v>268</v>
      </c>
      <c r="B275" s="2" t="s">
        <v>325</v>
      </c>
      <c r="C275" s="2" t="s">
        <v>48</v>
      </c>
      <c r="D275" s="2">
        <v>47</v>
      </c>
      <c r="E275" s="2">
        <f t="shared" si="3588"/>
        <v>207</v>
      </c>
      <c r="F275" s="2">
        <v>19</v>
      </c>
      <c r="G275" s="2">
        <f t="shared" ref="G275:I275" si="3743">_xlfn.RANK.EQ(F275, F$7:F$375,0)</f>
        <v>155</v>
      </c>
      <c r="H275" s="3">
        <v>16.580555555555556</v>
      </c>
      <c r="I275" s="2">
        <f t="shared" si="3743"/>
        <v>268</v>
      </c>
      <c r="J275" s="5">
        <v>0.3527777777777778</v>
      </c>
      <c r="K275" s="2">
        <f t="shared" ref="K275:M275" si="3744">_xlfn.RANK.EQ(J275, J$7:J$375,0)</f>
        <v>292</v>
      </c>
      <c r="L275" s="2">
        <v>105</v>
      </c>
      <c r="M275" s="2">
        <f t="shared" si="3744"/>
        <v>268</v>
      </c>
      <c r="N275" s="2">
        <v>48</v>
      </c>
      <c r="O275" s="2">
        <f t="shared" ref="O275:Q275" si="3745">_xlfn.RANK.EQ(N275, N$7:N$375,0)</f>
        <v>248</v>
      </c>
      <c r="P275" s="2">
        <v>116</v>
      </c>
      <c r="Q275" s="2">
        <f t="shared" si="3745"/>
        <v>251</v>
      </c>
      <c r="R275" s="4">
        <v>0.41399999999999998</v>
      </c>
      <c r="S275" s="2">
        <f t="shared" ref="S275:U275" si="3746">_xlfn.RANK.EQ(R275, R$7:R$375,0)</f>
        <v>175</v>
      </c>
      <c r="T275" s="2">
        <v>44</v>
      </c>
      <c r="U275" s="2">
        <f t="shared" si="3746"/>
        <v>189</v>
      </c>
      <c r="V275" s="2">
        <v>82</v>
      </c>
      <c r="W275" s="2">
        <f t="shared" ref="W275:Y275" si="3747">_xlfn.RANK.EQ(V275, V$7:V$375,0)</f>
        <v>203</v>
      </c>
      <c r="X275" s="4">
        <v>0.53700000000000003</v>
      </c>
      <c r="Y275" s="2">
        <f t="shared" si="3747"/>
        <v>129</v>
      </c>
      <c r="Z275" s="2">
        <v>4</v>
      </c>
      <c r="AA275" s="2">
        <f t="shared" ref="AA275:AC275" si="3748">_xlfn.RANK.EQ(Z275, Z$7:Z$375,0)</f>
        <v>284</v>
      </c>
      <c r="AB275" s="2">
        <v>34</v>
      </c>
      <c r="AC275" s="2">
        <f t="shared" si="3748"/>
        <v>260</v>
      </c>
      <c r="AD275" s="4">
        <v>0.11799999999999999</v>
      </c>
      <c r="AE275" s="2">
        <f t="shared" ref="AE275:AG275" si="3749">_xlfn.RANK.EQ(AD275, AD$7:AD$375,0)</f>
        <v>322</v>
      </c>
      <c r="AF275" s="2">
        <v>5</v>
      </c>
      <c r="AG275" s="2">
        <f t="shared" si="3749"/>
        <v>297</v>
      </c>
      <c r="AH275" s="2">
        <v>12</v>
      </c>
      <c r="AI275" s="2">
        <f t="shared" ref="AI275:AK275" si="3750">_xlfn.RANK.EQ(AH275, AH$7:AH$375,0)</f>
        <v>283</v>
      </c>
      <c r="AJ275" s="4">
        <v>0.41699999999999998</v>
      </c>
      <c r="AK275" s="2">
        <f t="shared" si="3750"/>
        <v>339</v>
      </c>
      <c r="AL275" s="2">
        <v>25</v>
      </c>
      <c r="AM275" s="2">
        <f t="shared" ref="AM275:AO275" si="3751">_xlfn.RANK.EQ(AL275, AL$7:AL$375,0)</f>
        <v>173</v>
      </c>
      <c r="AN275" s="2">
        <v>42</v>
      </c>
      <c r="AO275" s="2">
        <f t="shared" si="3751"/>
        <v>225</v>
      </c>
      <c r="AP275" s="2">
        <v>67</v>
      </c>
      <c r="AQ275" s="2">
        <f t="shared" ref="AQ275:AS275" si="3752">_xlfn.RANK.EQ(AP275, AP$7:AP$375,0)</f>
        <v>212</v>
      </c>
      <c r="AR275" s="2">
        <v>14</v>
      </c>
      <c r="AS275" s="2">
        <f t="shared" si="3752"/>
        <v>294</v>
      </c>
      <c r="AT275" s="2">
        <v>20</v>
      </c>
      <c r="AU275" s="2">
        <f t="shared" ref="AU275:AW275" si="3753">_xlfn.RANK.EQ(AT275, AT$7:AT$375,0)</f>
        <v>253</v>
      </c>
      <c r="AV275" s="2">
        <v>11</v>
      </c>
      <c r="AW275" s="2">
        <f t="shared" si="3753"/>
        <v>266</v>
      </c>
      <c r="AX275" s="2">
        <v>8</v>
      </c>
      <c r="AY275" s="2">
        <f t="shared" ref="AY275:BA275" si="3754">_xlfn.RANK.EQ(AX275, AX$7:AX$375,0)</f>
        <v>125</v>
      </c>
      <c r="AZ275" s="2">
        <v>11</v>
      </c>
      <c r="BA275" s="2">
        <f t="shared" si="3754"/>
        <v>132</v>
      </c>
      <c r="BB275" s="2">
        <v>52</v>
      </c>
      <c r="BC275" s="2">
        <f t="shared" ref="BC275:BE275" si="3755">_xlfn.RANK.EQ(BB275, BB$7:BB$375,0)</f>
        <v>260</v>
      </c>
      <c r="BD275" s="2">
        <v>20</v>
      </c>
      <c r="BE275" s="2">
        <f t="shared" si="3755"/>
        <v>269</v>
      </c>
      <c r="BF275" s="2">
        <v>66</v>
      </c>
      <c r="BG275" s="2">
        <f t="shared" ref="BG275:BI275" si="3756">_xlfn.RANK.EQ(BF275, BF$7:BF$375,0)</f>
        <v>265</v>
      </c>
      <c r="BH275" s="2">
        <v>-89</v>
      </c>
      <c r="BI275" s="2">
        <f t="shared" si="3756"/>
        <v>269</v>
      </c>
    </row>
    <row r="276" spans="1:61" x14ac:dyDescent="0.55000000000000004">
      <c r="A276" s="2">
        <v>270</v>
      </c>
      <c r="B276" s="2" t="s">
        <v>326</v>
      </c>
      <c r="C276" s="2" t="s">
        <v>79</v>
      </c>
      <c r="D276" s="2">
        <v>14</v>
      </c>
      <c r="E276" s="2">
        <f t="shared" si="3588"/>
        <v>340</v>
      </c>
      <c r="F276" s="2">
        <v>4</v>
      </c>
      <c r="G276" s="2">
        <f t="shared" ref="G276:I276" si="3757">_xlfn.RANK.EQ(F276, F$7:F$375,0)</f>
        <v>244</v>
      </c>
      <c r="H276" s="3">
        <v>11.206944444444444</v>
      </c>
      <c r="I276" s="2">
        <f t="shared" si="3757"/>
        <v>292</v>
      </c>
      <c r="J276" s="5">
        <v>0.8</v>
      </c>
      <c r="K276" s="2">
        <f t="shared" ref="K276:M276" si="3758">_xlfn.RANK.EQ(J276, J$7:J$375,0)</f>
        <v>161</v>
      </c>
      <c r="L276" s="2">
        <v>100</v>
      </c>
      <c r="M276" s="2">
        <f t="shared" si="3758"/>
        <v>270</v>
      </c>
      <c r="N276" s="2">
        <v>40</v>
      </c>
      <c r="O276" s="2">
        <f t="shared" ref="O276:Q276" si="3759">_xlfn.RANK.EQ(N276, N$7:N$375,0)</f>
        <v>262</v>
      </c>
      <c r="P276" s="2">
        <v>75</v>
      </c>
      <c r="Q276" s="2">
        <f t="shared" si="3759"/>
        <v>283</v>
      </c>
      <c r="R276" s="4">
        <v>0.53300000000000003</v>
      </c>
      <c r="S276" s="2">
        <f t="shared" ref="S276:U276" si="3760">_xlfn.RANK.EQ(R276, R$7:R$375,0)</f>
        <v>46</v>
      </c>
      <c r="T276" s="2">
        <v>40</v>
      </c>
      <c r="U276" s="2">
        <f t="shared" si="3760"/>
        <v>196</v>
      </c>
      <c r="V276" s="2">
        <v>74</v>
      </c>
      <c r="W276" s="2">
        <f t="shared" ref="W276:Y276" si="3761">_xlfn.RANK.EQ(V276, V$7:V$375,0)</f>
        <v>214</v>
      </c>
      <c r="X276" s="4">
        <v>0.54100000000000004</v>
      </c>
      <c r="Y276" s="2">
        <f t="shared" si="3761"/>
        <v>120</v>
      </c>
      <c r="Z276" s="2">
        <v>0</v>
      </c>
      <c r="AA276" s="2">
        <f t="shared" ref="AA276:AC276" si="3762">_xlfn.RANK.EQ(Z276, Z$7:Z$375,0)</f>
        <v>329</v>
      </c>
      <c r="AB276" s="2">
        <v>1</v>
      </c>
      <c r="AC276" s="2">
        <f t="shared" si="3762"/>
        <v>342</v>
      </c>
      <c r="AD276" s="4">
        <v>0</v>
      </c>
      <c r="AE276" s="2">
        <f t="shared" ref="AE276:AG276" si="3763">_xlfn.RANK.EQ(AD276, AD$7:AD$375,0)</f>
        <v>329</v>
      </c>
      <c r="AF276" s="2">
        <v>20</v>
      </c>
      <c r="AG276" s="2">
        <f t="shared" si="3763"/>
        <v>212</v>
      </c>
      <c r="AH276" s="2">
        <v>32</v>
      </c>
      <c r="AI276" s="2">
        <f t="shared" ref="AI276:AK276" si="3764">_xlfn.RANK.EQ(AH276, AH$7:AH$375,0)</f>
        <v>204</v>
      </c>
      <c r="AJ276" s="4">
        <v>0.625</v>
      </c>
      <c r="AK276" s="2">
        <f t="shared" si="3764"/>
        <v>258</v>
      </c>
      <c r="AL276" s="2">
        <v>25</v>
      </c>
      <c r="AM276" s="2">
        <f t="shared" ref="AM276:AO276" si="3765">_xlfn.RANK.EQ(AL276, AL$7:AL$375,0)</f>
        <v>173</v>
      </c>
      <c r="AN276" s="2">
        <v>45</v>
      </c>
      <c r="AO276" s="2">
        <f t="shared" si="3765"/>
        <v>210</v>
      </c>
      <c r="AP276" s="2">
        <v>70</v>
      </c>
      <c r="AQ276" s="2">
        <f t="shared" ref="AQ276:AS276" si="3766">_xlfn.RANK.EQ(AP276, AP$7:AP$375,0)</f>
        <v>204</v>
      </c>
      <c r="AR276" s="2">
        <v>14</v>
      </c>
      <c r="AS276" s="2">
        <f t="shared" si="3766"/>
        <v>294</v>
      </c>
      <c r="AT276" s="2">
        <v>11</v>
      </c>
      <c r="AU276" s="2">
        <f t="shared" ref="AU276:AW276" si="3767">_xlfn.RANK.EQ(AT276, AT$7:AT$375,0)</f>
        <v>301</v>
      </c>
      <c r="AV276" s="2">
        <v>4</v>
      </c>
      <c r="AW276" s="2">
        <f t="shared" si="3767"/>
        <v>312</v>
      </c>
      <c r="AX276" s="2">
        <v>12</v>
      </c>
      <c r="AY276" s="2">
        <f t="shared" ref="AY276:BA276" si="3768">_xlfn.RANK.EQ(AX276, AX$7:AX$375,0)</f>
        <v>88</v>
      </c>
      <c r="AZ276" s="2">
        <v>5</v>
      </c>
      <c r="BA276" s="2">
        <f t="shared" si="3768"/>
        <v>227</v>
      </c>
      <c r="BB276" s="2">
        <v>27</v>
      </c>
      <c r="BC276" s="2">
        <f t="shared" ref="BC276:BE276" si="3769">_xlfn.RANK.EQ(BB276, BB$7:BB$375,0)</f>
        <v>305</v>
      </c>
      <c r="BD276" s="2">
        <v>25</v>
      </c>
      <c r="BE276" s="2">
        <f t="shared" si="3769"/>
        <v>250</v>
      </c>
      <c r="BF276" s="2">
        <v>135</v>
      </c>
      <c r="BG276" s="2">
        <f t="shared" ref="BG276:BI276" si="3770">_xlfn.RANK.EQ(BF276, BF$7:BF$375,0)</f>
        <v>217</v>
      </c>
      <c r="BH276" s="2">
        <v>-101</v>
      </c>
      <c r="BI276" s="2">
        <f t="shared" si="3770"/>
        <v>281</v>
      </c>
    </row>
    <row r="277" spans="1:61" x14ac:dyDescent="0.55000000000000004">
      <c r="A277" s="2">
        <v>271</v>
      </c>
      <c r="B277" s="2" t="s">
        <v>327</v>
      </c>
      <c r="C277" s="2" t="s">
        <v>79</v>
      </c>
      <c r="D277" s="2">
        <v>19</v>
      </c>
      <c r="E277" s="2">
        <f t="shared" si="3588"/>
        <v>327</v>
      </c>
      <c r="F277" s="2">
        <v>2</v>
      </c>
      <c r="G277" s="2">
        <f t="shared" ref="G277:I277" si="3771">_xlfn.RANK.EQ(F277, F$7:F$375,0)</f>
        <v>256</v>
      </c>
      <c r="H277" s="3">
        <v>8.3125</v>
      </c>
      <c r="I277" s="2">
        <f t="shared" si="3771"/>
        <v>307</v>
      </c>
      <c r="J277" s="5">
        <v>0.4375</v>
      </c>
      <c r="K277" s="2">
        <f t="shared" ref="K277:M277" si="3772">_xlfn.RANK.EQ(J277, J$7:J$375,0)</f>
        <v>266</v>
      </c>
      <c r="L277" s="2">
        <v>97</v>
      </c>
      <c r="M277" s="2">
        <f t="shared" si="3772"/>
        <v>271</v>
      </c>
      <c r="N277" s="2">
        <v>34</v>
      </c>
      <c r="O277" s="2">
        <f t="shared" ref="O277:Q277" si="3773">_xlfn.RANK.EQ(N277, N$7:N$375,0)</f>
        <v>271</v>
      </c>
      <c r="P277" s="2">
        <v>86</v>
      </c>
      <c r="Q277" s="2">
        <f t="shared" si="3773"/>
        <v>275</v>
      </c>
      <c r="R277" s="4">
        <v>0.39500000000000002</v>
      </c>
      <c r="S277" s="2">
        <f t="shared" ref="S277:U277" si="3774">_xlfn.RANK.EQ(R277, R$7:R$375,0)</f>
        <v>211</v>
      </c>
      <c r="T277" s="2">
        <v>18</v>
      </c>
      <c r="U277" s="2">
        <f t="shared" si="3774"/>
        <v>266</v>
      </c>
      <c r="V277" s="2">
        <v>41</v>
      </c>
      <c r="W277" s="2">
        <f t="shared" ref="W277:Y277" si="3775">_xlfn.RANK.EQ(V277, V$7:V$375,0)</f>
        <v>265</v>
      </c>
      <c r="X277" s="4">
        <v>0.439</v>
      </c>
      <c r="Y277" s="2">
        <f t="shared" si="3775"/>
        <v>254</v>
      </c>
      <c r="Z277" s="2">
        <v>16</v>
      </c>
      <c r="AA277" s="2">
        <f t="shared" ref="AA277:AC277" si="3776">_xlfn.RANK.EQ(Z277, Z$7:Z$375,0)</f>
        <v>222</v>
      </c>
      <c r="AB277" s="2">
        <v>45</v>
      </c>
      <c r="AC277" s="2">
        <f t="shared" si="3776"/>
        <v>244</v>
      </c>
      <c r="AD277" s="4">
        <v>0.35599999999999998</v>
      </c>
      <c r="AE277" s="2">
        <f t="shared" ref="AE277:AG277" si="3777">_xlfn.RANK.EQ(AD277, AD$7:AD$375,0)</f>
        <v>103</v>
      </c>
      <c r="AF277" s="2">
        <v>13</v>
      </c>
      <c r="AG277" s="2">
        <f t="shared" si="3777"/>
        <v>248</v>
      </c>
      <c r="AH277" s="2">
        <v>18</v>
      </c>
      <c r="AI277" s="2">
        <f t="shared" ref="AI277:AK277" si="3778">_xlfn.RANK.EQ(AH277, AH$7:AH$375,0)</f>
        <v>253</v>
      </c>
      <c r="AJ277" s="4">
        <v>0.72199999999999998</v>
      </c>
      <c r="AK277" s="2">
        <f t="shared" si="3778"/>
        <v>185</v>
      </c>
      <c r="AL277" s="2">
        <v>4</v>
      </c>
      <c r="AM277" s="2">
        <f t="shared" ref="AM277:AO277" si="3779">_xlfn.RANK.EQ(AL277, AL$7:AL$375,0)</f>
        <v>305</v>
      </c>
      <c r="AN277" s="2">
        <v>26</v>
      </c>
      <c r="AO277" s="2">
        <f t="shared" si="3779"/>
        <v>274</v>
      </c>
      <c r="AP277" s="2">
        <v>30</v>
      </c>
      <c r="AQ277" s="2">
        <f t="shared" ref="AQ277:AS277" si="3780">_xlfn.RANK.EQ(AP277, AP$7:AP$375,0)</f>
        <v>286</v>
      </c>
      <c r="AR277" s="2">
        <v>18</v>
      </c>
      <c r="AS277" s="2">
        <f t="shared" si="3780"/>
        <v>285</v>
      </c>
      <c r="AT277" s="2">
        <v>18</v>
      </c>
      <c r="AU277" s="2">
        <f t="shared" ref="AU277:AW277" si="3781">_xlfn.RANK.EQ(AT277, AT$7:AT$375,0)</f>
        <v>262</v>
      </c>
      <c r="AV277" s="2">
        <v>9</v>
      </c>
      <c r="AW277" s="2">
        <f t="shared" si="3781"/>
        <v>273</v>
      </c>
      <c r="AX277" s="2">
        <v>1</v>
      </c>
      <c r="AY277" s="2">
        <f t="shared" ref="AY277:BA277" si="3782">_xlfn.RANK.EQ(AX277, AX$7:AX$375,0)</f>
        <v>265</v>
      </c>
      <c r="AZ277" s="2">
        <v>2</v>
      </c>
      <c r="BA277" s="2">
        <f t="shared" si="3782"/>
        <v>285</v>
      </c>
      <c r="BB277" s="2">
        <v>24</v>
      </c>
      <c r="BC277" s="2">
        <f t="shared" ref="BC277:BE277" si="3783">_xlfn.RANK.EQ(BB277, BB$7:BB$375,0)</f>
        <v>310</v>
      </c>
      <c r="BD277" s="2">
        <v>21</v>
      </c>
      <c r="BE277" s="2">
        <f t="shared" si="3783"/>
        <v>262</v>
      </c>
      <c r="BF277" s="2">
        <v>75</v>
      </c>
      <c r="BG277" s="2">
        <f t="shared" ref="BG277:BI277" si="3784">_xlfn.RANK.EQ(BF277, BF$7:BF$375,0)</f>
        <v>257</v>
      </c>
      <c r="BH277" s="2">
        <v>-71</v>
      </c>
      <c r="BI277" s="2">
        <f t="shared" si="3784"/>
        <v>261</v>
      </c>
    </row>
    <row r="278" spans="1:61" x14ac:dyDescent="0.55000000000000004">
      <c r="A278" s="2">
        <v>272</v>
      </c>
      <c r="B278" s="2" t="s">
        <v>328</v>
      </c>
      <c r="C278" s="2" t="s">
        <v>69</v>
      </c>
      <c r="D278" s="2">
        <v>35</v>
      </c>
      <c r="E278" s="2">
        <f t="shared" si="3588"/>
        <v>270</v>
      </c>
      <c r="F278" s="2">
        <v>2</v>
      </c>
      <c r="G278" s="2">
        <f t="shared" ref="G278:I278" si="3785">_xlfn.RANK.EQ(F278, F$7:F$375,0)</f>
        <v>256</v>
      </c>
      <c r="H278" s="3">
        <v>9.1173611111111104</v>
      </c>
      <c r="I278" s="2">
        <f t="shared" si="3785"/>
        <v>303</v>
      </c>
      <c r="J278" s="5">
        <v>0.26041666666666669</v>
      </c>
      <c r="K278" s="2">
        <f t="shared" ref="K278:M278" si="3786">_xlfn.RANK.EQ(J278, J$7:J$375,0)</f>
        <v>315</v>
      </c>
      <c r="L278" s="2">
        <v>94</v>
      </c>
      <c r="M278" s="2">
        <f t="shared" si="3786"/>
        <v>272</v>
      </c>
      <c r="N278" s="2">
        <v>34</v>
      </c>
      <c r="O278" s="2">
        <f t="shared" ref="O278:Q278" si="3787">_xlfn.RANK.EQ(N278, N$7:N$375,0)</f>
        <v>271</v>
      </c>
      <c r="P278" s="2">
        <v>88</v>
      </c>
      <c r="Q278" s="2">
        <f t="shared" si="3787"/>
        <v>273</v>
      </c>
      <c r="R278" s="4">
        <v>0.38600000000000001</v>
      </c>
      <c r="S278" s="2">
        <f t="shared" ref="S278:U278" si="3788">_xlfn.RANK.EQ(R278, R$7:R$375,0)</f>
        <v>228</v>
      </c>
      <c r="T278" s="2">
        <v>10</v>
      </c>
      <c r="U278" s="2">
        <f t="shared" si="3788"/>
        <v>294</v>
      </c>
      <c r="V278" s="2">
        <v>17</v>
      </c>
      <c r="W278" s="2">
        <f t="shared" ref="W278:Y278" si="3789">_xlfn.RANK.EQ(V278, V$7:V$375,0)</f>
        <v>307</v>
      </c>
      <c r="X278" s="4">
        <v>0.58799999999999997</v>
      </c>
      <c r="Y278" s="2">
        <f t="shared" si="3789"/>
        <v>64</v>
      </c>
      <c r="Z278" s="2">
        <v>24</v>
      </c>
      <c r="AA278" s="2">
        <f t="shared" ref="AA278:AC278" si="3790">_xlfn.RANK.EQ(Z278, Z$7:Z$375,0)</f>
        <v>198</v>
      </c>
      <c r="AB278" s="2">
        <v>71</v>
      </c>
      <c r="AC278" s="2">
        <f t="shared" si="3790"/>
        <v>205</v>
      </c>
      <c r="AD278" s="4">
        <v>0.33800000000000002</v>
      </c>
      <c r="AE278" s="2">
        <f t="shared" ref="AE278:AG278" si="3791">_xlfn.RANK.EQ(AD278, AD$7:AD$375,0)</f>
        <v>141</v>
      </c>
      <c r="AF278" s="2">
        <v>2</v>
      </c>
      <c r="AG278" s="2">
        <f t="shared" si="3791"/>
        <v>323</v>
      </c>
      <c r="AH278" s="2">
        <v>2</v>
      </c>
      <c r="AI278" s="2">
        <f t="shared" ref="AI278:AK278" si="3792">_xlfn.RANK.EQ(AH278, AH$7:AH$375,0)</f>
        <v>333</v>
      </c>
      <c r="AJ278" s="4">
        <v>1</v>
      </c>
      <c r="AK278" s="2">
        <f t="shared" si="3792"/>
        <v>1</v>
      </c>
      <c r="AL278" s="2">
        <v>5</v>
      </c>
      <c r="AM278" s="2">
        <f t="shared" ref="AM278:AO278" si="3793">_xlfn.RANK.EQ(AL278, AL$7:AL$375,0)</f>
        <v>298</v>
      </c>
      <c r="AN278" s="2">
        <v>8</v>
      </c>
      <c r="AO278" s="2">
        <f t="shared" si="3793"/>
        <v>318</v>
      </c>
      <c r="AP278" s="2">
        <v>13</v>
      </c>
      <c r="AQ278" s="2">
        <f t="shared" ref="AQ278:AS278" si="3794">_xlfn.RANK.EQ(AP278, AP$7:AP$375,0)</f>
        <v>316</v>
      </c>
      <c r="AR278" s="2">
        <v>4</v>
      </c>
      <c r="AS278" s="2">
        <f t="shared" si="3794"/>
        <v>327</v>
      </c>
      <c r="AT278" s="2">
        <v>12</v>
      </c>
      <c r="AU278" s="2">
        <f t="shared" ref="AU278:AW278" si="3795">_xlfn.RANK.EQ(AT278, AT$7:AT$375,0)</f>
        <v>295</v>
      </c>
      <c r="AV278" s="2">
        <v>5</v>
      </c>
      <c r="AW278" s="2">
        <f t="shared" si="3795"/>
        <v>303</v>
      </c>
      <c r="AX278" s="2">
        <v>0</v>
      </c>
      <c r="AY278" s="2">
        <f t="shared" ref="AY278:BA278" si="3796">_xlfn.RANK.EQ(AX278, AX$7:AX$375,0)</f>
        <v>298</v>
      </c>
      <c r="AZ278" s="2">
        <v>0</v>
      </c>
      <c r="BA278" s="2">
        <f t="shared" si="3796"/>
        <v>337</v>
      </c>
      <c r="BB278" s="2">
        <v>39</v>
      </c>
      <c r="BC278" s="2">
        <f t="shared" ref="BC278:BE278" si="3797">_xlfn.RANK.EQ(BB278, BB$7:BB$375,0)</f>
        <v>287</v>
      </c>
      <c r="BD278" s="2">
        <v>9</v>
      </c>
      <c r="BE278" s="2">
        <f t="shared" si="3797"/>
        <v>304</v>
      </c>
      <c r="BF278" s="2">
        <v>20</v>
      </c>
      <c r="BG278" s="2">
        <f t="shared" ref="BG278:BI278" si="3798">_xlfn.RANK.EQ(BF278, BF$7:BF$375,0)</f>
        <v>304</v>
      </c>
      <c r="BH278" s="2">
        <v>-12</v>
      </c>
      <c r="BI278" s="2">
        <f t="shared" si="3798"/>
        <v>174</v>
      </c>
    </row>
    <row r="279" spans="1:61" x14ac:dyDescent="0.55000000000000004">
      <c r="A279" s="2">
        <v>273</v>
      </c>
      <c r="B279" s="2" t="s">
        <v>329</v>
      </c>
      <c r="C279" s="2" t="s">
        <v>42</v>
      </c>
      <c r="D279" s="2">
        <v>30</v>
      </c>
      <c r="E279" s="2">
        <f t="shared" si="3588"/>
        <v>283</v>
      </c>
      <c r="F279" s="2">
        <v>0</v>
      </c>
      <c r="G279" s="2">
        <f t="shared" ref="G279:I279" si="3799">_xlfn.RANK.EQ(F279, F$7:F$375,0)</f>
        <v>291</v>
      </c>
      <c r="H279" s="3">
        <v>9.3368055555555554</v>
      </c>
      <c r="I279" s="2">
        <f t="shared" si="3799"/>
        <v>300</v>
      </c>
      <c r="J279" s="5">
        <v>0.31111111111111112</v>
      </c>
      <c r="K279" s="2">
        <f t="shared" ref="K279:M279" si="3800">_xlfn.RANK.EQ(J279, J$7:J$375,0)</f>
        <v>303</v>
      </c>
      <c r="L279" s="2">
        <v>92</v>
      </c>
      <c r="M279" s="2">
        <f t="shared" si="3800"/>
        <v>273</v>
      </c>
      <c r="N279" s="2">
        <v>32</v>
      </c>
      <c r="O279" s="2">
        <f t="shared" ref="O279:Q279" si="3801">_xlfn.RANK.EQ(N279, N$7:N$375,0)</f>
        <v>276</v>
      </c>
      <c r="P279" s="2">
        <v>79</v>
      </c>
      <c r="Q279" s="2">
        <f t="shared" si="3801"/>
        <v>278</v>
      </c>
      <c r="R279" s="4">
        <v>0.40500000000000003</v>
      </c>
      <c r="S279" s="2">
        <f t="shared" ref="S279:U279" si="3802">_xlfn.RANK.EQ(R279, R$7:R$375,0)</f>
        <v>190</v>
      </c>
      <c r="T279" s="2">
        <v>17</v>
      </c>
      <c r="U279" s="2">
        <f t="shared" si="3802"/>
        <v>270</v>
      </c>
      <c r="V279" s="2">
        <v>42</v>
      </c>
      <c r="W279" s="2">
        <f t="shared" ref="W279:Y279" si="3803">_xlfn.RANK.EQ(V279, V$7:V$375,0)</f>
        <v>263</v>
      </c>
      <c r="X279" s="4">
        <v>0.40500000000000003</v>
      </c>
      <c r="Y279" s="2">
        <f t="shared" si="3803"/>
        <v>289</v>
      </c>
      <c r="Z279" s="2">
        <v>15</v>
      </c>
      <c r="AA279" s="2">
        <f t="shared" ref="AA279:AC279" si="3804">_xlfn.RANK.EQ(Z279, Z$7:Z$375,0)</f>
        <v>230</v>
      </c>
      <c r="AB279" s="2">
        <v>37</v>
      </c>
      <c r="AC279" s="2">
        <f t="shared" si="3804"/>
        <v>256</v>
      </c>
      <c r="AD279" s="4">
        <v>0.40500000000000003</v>
      </c>
      <c r="AE279" s="2">
        <f t="shared" ref="AE279:AG279" si="3805">_xlfn.RANK.EQ(AD279, AD$7:AD$375,0)</f>
        <v>33</v>
      </c>
      <c r="AF279" s="2">
        <v>13</v>
      </c>
      <c r="AG279" s="2">
        <f t="shared" si="3805"/>
        <v>248</v>
      </c>
      <c r="AH279" s="2">
        <v>17</v>
      </c>
      <c r="AI279" s="2">
        <f t="shared" ref="AI279:AK279" si="3806">_xlfn.RANK.EQ(AH279, AH$7:AH$375,0)</f>
        <v>260</v>
      </c>
      <c r="AJ279" s="4">
        <v>0.76500000000000001</v>
      </c>
      <c r="AK279" s="2">
        <f t="shared" si="3806"/>
        <v>129</v>
      </c>
      <c r="AL279" s="2">
        <v>10</v>
      </c>
      <c r="AM279" s="2">
        <f t="shared" ref="AM279:AO279" si="3807">_xlfn.RANK.EQ(AL279, AL$7:AL$375,0)</f>
        <v>276</v>
      </c>
      <c r="AN279" s="2">
        <v>9</v>
      </c>
      <c r="AO279" s="2">
        <f t="shared" si="3807"/>
        <v>313</v>
      </c>
      <c r="AP279" s="2">
        <v>19</v>
      </c>
      <c r="AQ279" s="2">
        <f t="shared" ref="AQ279:AS279" si="3808">_xlfn.RANK.EQ(AP279, AP$7:AP$375,0)</f>
        <v>304</v>
      </c>
      <c r="AR279" s="2">
        <v>9</v>
      </c>
      <c r="AS279" s="2">
        <f t="shared" si="3808"/>
        <v>315</v>
      </c>
      <c r="AT279" s="2">
        <v>10</v>
      </c>
      <c r="AU279" s="2">
        <f t="shared" ref="AU279:AW279" si="3809">_xlfn.RANK.EQ(AT279, AT$7:AT$375,0)</f>
        <v>305</v>
      </c>
      <c r="AV279" s="2">
        <v>2</v>
      </c>
      <c r="AW279" s="2">
        <f t="shared" si="3809"/>
        <v>327</v>
      </c>
      <c r="AX279" s="2">
        <v>2</v>
      </c>
      <c r="AY279" s="2">
        <f t="shared" ref="AY279:BA279" si="3810">_xlfn.RANK.EQ(AX279, AX$7:AX$375,0)</f>
        <v>234</v>
      </c>
      <c r="AZ279" s="2">
        <v>6</v>
      </c>
      <c r="BA279" s="2">
        <f t="shared" si="3810"/>
        <v>214</v>
      </c>
      <c r="BB279" s="2">
        <v>33</v>
      </c>
      <c r="BC279" s="2">
        <f t="shared" ref="BC279:BE279" si="3811">_xlfn.RANK.EQ(BB279, BB$7:BB$375,0)</f>
        <v>295</v>
      </c>
      <c r="BD279" s="2">
        <v>14</v>
      </c>
      <c r="BE279" s="2">
        <f t="shared" si="3811"/>
        <v>288</v>
      </c>
      <c r="BF279" s="2">
        <v>38</v>
      </c>
      <c r="BG279" s="2">
        <f t="shared" ref="BG279:BI279" si="3812">_xlfn.RANK.EQ(BF279, BF$7:BF$375,0)</f>
        <v>288</v>
      </c>
      <c r="BH279" s="2">
        <v>6</v>
      </c>
      <c r="BI279" s="2">
        <f t="shared" si="3812"/>
        <v>135</v>
      </c>
    </row>
    <row r="280" spans="1:61" x14ac:dyDescent="0.55000000000000004">
      <c r="A280" s="2">
        <v>274</v>
      </c>
      <c r="B280" s="2" t="s">
        <v>330</v>
      </c>
      <c r="C280" s="2" t="s">
        <v>69</v>
      </c>
      <c r="D280" s="2">
        <v>21</v>
      </c>
      <c r="E280" s="2">
        <f t="shared" si="3588"/>
        <v>314</v>
      </c>
      <c r="F280" s="2">
        <v>0</v>
      </c>
      <c r="G280" s="2">
        <f t="shared" ref="G280:I280" si="3813">_xlfn.RANK.EQ(F280, F$7:F$375,0)</f>
        <v>291</v>
      </c>
      <c r="H280" s="3">
        <v>11.186805555555555</v>
      </c>
      <c r="I280" s="2">
        <f t="shared" si="3813"/>
        <v>294</v>
      </c>
      <c r="J280" s="5">
        <v>0.53263888888888888</v>
      </c>
      <c r="K280" s="2">
        <f t="shared" ref="K280:M280" si="3814">_xlfn.RANK.EQ(J280, J$7:J$375,0)</f>
        <v>246</v>
      </c>
      <c r="L280" s="2">
        <v>91</v>
      </c>
      <c r="M280" s="2">
        <f t="shared" si="3814"/>
        <v>274</v>
      </c>
      <c r="N280" s="2">
        <v>36</v>
      </c>
      <c r="O280" s="2">
        <f t="shared" ref="O280:Q280" si="3815">_xlfn.RANK.EQ(N280, N$7:N$375,0)</f>
        <v>269</v>
      </c>
      <c r="P280" s="2">
        <v>69</v>
      </c>
      <c r="Q280" s="2">
        <f t="shared" si="3815"/>
        <v>289</v>
      </c>
      <c r="R280" s="4">
        <v>0.52200000000000002</v>
      </c>
      <c r="S280" s="2">
        <f t="shared" ref="S280:U280" si="3816">_xlfn.RANK.EQ(R280, R$7:R$375,0)</f>
        <v>53</v>
      </c>
      <c r="T280" s="2">
        <v>25</v>
      </c>
      <c r="U280" s="2">
        <f t="shared" si="3816"/>
        <v>245</v>
      </c>
      <c r="V280" s="2">
        <v>44</v>
      </c>
      <c r="W280" s="2">
        <f t="shared" ref="W280:Y280" si="3817">_xlfn.RANK.EQ(V280, V$7:V$375,0)</f>
        <v>255</v>
      </c>
      <c r="X280" s="4">
        <v>0.56799999999999995</v>
      </c>
      <c r="Y280" s="2">
        <f t="shared" si="3817"/>
        <v>83</v>
      </c>
      <c r="Z280" s="2">
        <v>11</v>
      </c>
      <c r="AA280" s="2">
        <f t="shared" ref="AA280:AC280" si="3818">_xlfn.RANK.EQ(Z280, Z$7:Z$375,0)</f>
        <v>251</v>
      </c>
      <c r="AB280" s="2">
        <v>25</v>
      </c>
      <c r="AC280" s="2">
        <f t="shared" si="3818"/>
        <v>279</v>
      </c>
      <c r="AD280" s="4">
        <v>0.44</v>
      </c>
      <c r="AE280" s="2">
        <f t="shared" ref="AE280:AG280" si="3819">_xlfn.RANK.EQ(AD280, AD$7:AD$375,0)</f>
        <v>22</v>
      </c>
      <c r="AF280" s="2">
        <v>8</v>
      </c>
      <c r="AG280" s="2">
        <f t="shared" si="3819"/>
        <v>280</v>
      </c>
      <c r="AH280" s="2">
        <v>15</v>
      </c>
      <c r="AI280" s="2">
        <f t="shared" ref="AI280:AK280" si="3820">_xlfn.RANK.EQ(AH280, AH$7:AH$375,0)</f>
        <v>267</v>
      </c>
      <c r="AJ280" s="4">
        <v>0.53300000000000003</v>
      </c>
      <c r="AK280" s="2">
        <f t="shared" si="3820"/>
        <v>299</v>
      </c>
      <c r="AL280" s="2">
        <v>5</v>
      </c>
      <c r="AM280" s="2">
        <f t="shared" ref="AM280:AO280" si="3821">_xlfn.RANK.EQ(AL280, AL$7:AL$375,0)</f>
        <v>298</v>
      </c>
      <c r="AN280" s="2">
        <v>9</v>
      </c>
      <c r="AO280" s="2">
        <f t="shared" si="3821"/>
        <v>313</v>
      </c>
      <c r="AP280" s="2">
        <v>14</v>
      </c>
      <c r="AQ280" s="2">
        <f t="shared" ref="AQ280:AS280" si="3822">_xlfn.RANK.EQ(AP280, AP$7:AP$375,0)</f>
        <v>311</v>
      </c>
      <c r="AR280" s="2">
        <v>7</v>
      </c>
      <c r="AS280" s="2">
        <f t="shared" si="3822"/>
        <v>319</v>
      </c>
      <c r="AT280" s="2">
        <v>9</v>
      </c>
      <c r="AU280" s="2">
        <f t="shared" ref="AU280:AW280" si="3823">_xlfn.RANK.EQ(AT280, AT$7:AT$375,0)</f>
        <v>309</v>
      </c>
      <c r="AV280" s="2">
        <v>2</v>
      </c>
      <c r="AW280" s="2">
        <f t="shared" si="3823"/>
        <v>327</v>
      </c>
      <c r="AX280" s="2">
        <v>4</v>
      </c>
      <c r="AY280" s="2">
        <f t="shared" ref="AY280:BA280" si="3824">_xlfn.RANK.EQ(AX280, AX$7:AX$375,0)</f>
        <v>186</v>
      </c>
      <c r="AZ280" s="2">
        <v>2</v>
      </c>
      <c r="BA280" s="2">
        <f t="shared" si="3824"/>
        <v>285</v>
      </c>
      <c r="BB280" s="2">
        <v>22</v>
      </c>
      <c r="BC280" s="2">
        <f t="shared" ref="BC280:BE280" si="3825">_xlfn.RANK.EQ(BB280, BB$7:BB$375,0)</f>
        <v>314</v>
      </c>
      <c r="BD280" s="2">
        <v>10</v>
      </c>
      <c r="BE280" s="2">
        <f t="shared" si="3825"/>
        <v>301</v>
      </c>
      <c r="BF280" s="2">
        <v>55</v>
      </c>
      <c r="BG280" s="2">
        <f t="shared" ref="BG280:BI280" si="3826">_xlfn.RANK.EQ(BF280, BF$7:BF$375,0)</f>
        <v>272</v>
      </c>
      <c r="BH280" s="2">
        <v>-32</v>
      </c>
      <c r="BI280" s="2">
        <f t="shared" si="3826"/>
        <v>208</v>
      </c>
    </row>
    <row r="281" spans="1:61" x14ac:dyDescent="0.55000000000000004">
      <c r="A281" s="2">
        <v>275</v>
      </c>
      <c r="B281" s="2" t="s">
        <v>331</v>
      </c>
      <c r="C281" s="2" t="s">
        <v>69</v>
      </c>
      <c r="D281" s="2">
        <v>53</v>
      </c>
      <c r="E281" s="2">
        <f t="shared" si="3588"/>
        <v>166</v>
      </c>
      <c r="F281" s="2">
        <v>9</v>
      </c>
      <c r="G281" s="2">
        <f t="shared" ref="G281:I281" si="3827">_xlfn.RANK.EQ(F281, F$7:F$375,0)</f>
        <v>206</v>
      </c>
      <c r="H281" s="3">
        <v>21.99861111111111</v>
      </c>
      <c r="I281" s="2">
        <f t="shared" si="3827"/>
        <v>242</v>
      </c>
      <c r="J281" s="5">
        <v>0.41458333333333336</v>
      </c>
      <c r="K281" s="2">
        <f t="shared" ref="K281:M281" si="3828">_xlfn.RANK.EQ(J281, J$7:J$375,0)</f>
        <v>276</v>
      </c>
      <c r="L281" s="2">
        <v>89</v>
      </c>
      <c r="M281" s="2">
        <f t="shared" si="3828"/>
        <v>275</v>
      </c>
      <c r="N281" s="2">
        <v>37</v>
      </c>
      <c r="O281" s="2">
        <f t="shared" ref="O281:Q281" si="3829">_xlfn.RANK.EQ(N281, N$7:N$375,0)</f>
        <v>267</v>
      </c>
      <c r="P281" s="2">
        <v>102</v>
      </c>
      <c r="Q281" s="2">
        <f t="shared" si="3829"/>
        <v>262</v>
      </c>
      <c r="R281" s="4">
        <v>0.36299999999999999</v>
      </c>
      <c r="S281" s="2">
        <f t="shared" ref="S281:U281" si="3830">_xlfn.RANK.EQ(R281, R$7:R$375,0)</f>
        <v>258</v>
      </c>
      <c r="T281" s="2">
        <v>27</v>
      </c>
      <c r="U281" s="2">
        <f t="shared" si="3830"/>
        <v>237</v>
      </c>
      <c r="V281" s="2">
        <v>50</v>
      </c>
      <c r="W281" s="2">
        <f t="shared" ref="W281:Y281" si="3831">_xlfn.RANK.EQ(V281, V$7:V$375,0)</f>
        <v>248</v>
      </c>
      <c r="X281" s="4">
        <v>0.54</v>
      </c>
      <c r="Y281" s="2">
        <f t="shared" si="3831"/>
        <v>123</v>
      </c>
      <c r="Z281" s="2">
        <v>10</v>
      </c>
      <c r="AA281" s="2">
        <f t="shared" ref="AA281:AC281" si="3832">_xlfn.RANK.EQ(Z281, Z$7:Z$375,0)</f>
        <v>254</v>
      </c>
      <c r="AB281" s="2">
        <v>52</v>
      </c>
      <c r="AC281" s="2">
        <f t="shared" si="3832"/>
        <v>234</v>
      </c>
      <c r="AD281" s="4">
        <v>0.192</v>
      </c>
      <c r="AE281" s="2">
        <f t="shared" ref="AE281:AG281" si="3833">_xlfn.RANK.EQ(AD281, AD$7:AD$375,0)</f>
        <v>311</v>
      </c>
      <c r="AF281" s="2">
        <v>5</v>
      </c>
      <c r="AG281" s="2">
        <f t="shared" si="3833"/>
        <v>297</v>
      </c>
      <c r="AH281" s="2">
        <v>10</v>
      </c>
      <c r="AI281" s="2">
        <f t="shared" ref="AI281:AK281" si="3834">_xlfn.RANK.EQ(AH281, AH$7:AH$375,0)</f>
        <v>293</v>
      </c>
      <c r="AJ281" s="4">
        <v>0.5</v>
      </c>
      <c r="AK281" s="2">
        <f t="shared" si="3834"/>
        <v>306</v>
      </c>
      <c r="AL281" s="2">
        <v>17</v>
      </c>
      <c r="AM281" s="2">
        <f t="shared" ref="AM281:AO281" si="3835">_xlfn.RANK.EQ(AL281, AL$7:AL$375,0)</f>
        <v>226</v>
      </c>
      <c r="AN281" s="2">
        <v>23</v>
      </c>
      <c r="AO281" s="2">
        <f t="shared" si="3835"/>
        <v>280</v>
      </c>
      <c r="AP281" s="2">
        <v>40</v>
      </c>
      <c r="AQ281" s="2">
        <f t="shared" ref="AQ281:AS281" si="3836">_xlfn.RANK.EQ(AP281, AP$7:AP$375,0)</f>
        <v>267</v>
      </c>
      <c r="AR281" s="2">
        <v>20</v>
      </c>
      <c r="AS281" s="2">
        <f t="shared" si="3836"/>
        <v>277</v>
      </c>
      <c r="AT281" s="2">
        <v>15</v>
      </c>
      <c r="AU281" s="2">
        <f t="shared" ref="AU281:AW281" si="3837">_xlfn.RANK.EQ(AT281, AT$7:AT$375,0)</f>
        <v>284</v>
      </c>
      <c r="AV281" s="2">
        <v>10</v>
      </c>
      <c r="AW281" s="2">
        <f t="shared" si="3837"/>
        <v>270</v>
      </c>
      <c r="AX281" s="2">
        <v>3</v>
      </c>
      <c r="AY281" s="2">
        <f t="shared" ref="AY281:BA281" si="3838">_xlfn.RANK.EQ(AX281, AX$7:AX$375,0)</f>
        <v>208</v>
      </c>
      <c r="AZ281" s="2">
        <v>5</v>
      </c>
      <c r="BA281" s="2">
        <f t="shared" si="3838"/>
        <v>227</v>
      </c>
      <c r="BB281" s="2">
        <v>66</v>
      </c>
      <c r="BC281" s="2">
        <f t="shared" ref="BC281:BE281" si="3839">_xlfn.RANK.EQ(BB281, BB$7:BB$375,0)</f>
        <v>225</v>
      </c>
      <c r="BD281" s="2">
        <v>10</v>
      </c>
      <c r="BE281" s="2">
        <f t="shared" si="3839"/>
        <v>301</v>
      </c>
      <c r="BF281" s="2">
        <v>16</v>
      </c>
      <c r="BG281" s="2">
        <f t="shared" ref="BG281:BI281" si="3840">_xlfn.RANK.EQ(BF281, BF$7:BF$375,0)</f>
        <v>312</v>
      </c>
      <c r="BH281" s="2">
        <v>-144</v>
      </c>
      <c r="BI281" s="2">
        <f t="shared" si="3840"/>
        <v>317</v>
      </c>
    </row>
    <row r="282" spans="1:61" x14ac:dyDescent="0.55000000000000004">
      <c r="A282" s="2">
        <v>276</v>
      </c>
      <c r="B282" s="2" t="s">
        <v>332</v>
      </c>
      <c r="C282" s="2" t="s">
        <v>34</v>
      </c>
      <c r="D282" s="2">
        <v>47</v>
      </c>
      <c r="E282" s="2">
        <f t="shared" si="3588"/>
        <v>207</v>
      </c>
      <c r="F282" s="2">
        <v>1</v>
      </c>
      <c r="G282" s="2">
        <f t="shared" ref="G282:I282" si="3841">_xlfn.RANK.EQ(F282, F$7:F$375,0)</f>
        <v>272</v>
      </c>
      <c r="H282" s="3">
        <v>16.366666666666667</v>
      </c>
      <c r="I282" s="2">
        <f t="shared" si="3841"/>
        <v>269</v>
      </c>
      <c r="J282" s="5">
        <v>0.34791666666666665</v>
      </c>
      <c r="K282" s="2">
        <f t="shared" ref="K282:M282" si="3842">_xlfn.RANK.EQ(J282, J$7:J$375,0)</f>
        <v>296</v>
      </c>
      <c r="L282" s="2">
        <v>87</v>
      </c>
      <c r="M282" s="2">
        <f t="shared" si="3842"/>
        <v>276</v>
      </c>
      <c r="N282" s="2">
        <v>29</v>
      </c>
      <c r="O282" s="2">
        <f t="shared" ref="O282:Q282" si="3843">_xlfn.RANK.EQ(N282, N$7:N$375,0)</f>
        <v>281</v>
      </c>
      <c r="P282" s="2">
        <v>99</v>
      </c>
      <c r="Q282" s="2">
        <f t="shared" si="3843"/>
        <v>264</v>
      </c>
      <c r="R282" s="4">
        <v>0.29299999999999998</v>
      </c>
      <c r="S282" s="2">
        <f t="shared" ref="S282:U282" si="3844">_xlfn.RANK.EQ(R282, R$7:R$375,0)</f>
        <v>337</v>
      </c>
      <c r="T282" s="2">
        <v>3</v>
      </c>
      <c r="U282" s="2">
        <f t="shared" si="3844"/>
        <v>334</v>
      </c>
      <c r="V282" s="2">
        <v>8</v>
      </c>
      <c r="W282" s="2">
        <f t="shared" ref="W282:Y282" si="3845">_xlfn.RANK.EQ(V282, V$7:V$375,0)</f>
        <v>332</v>
      </c>
      <c r="X282" s="4">
        <v>0.375</v>
      </c>
      <c r="Y282" s="2">
        <f t="shared" si="3845"/>
        <v>311</v>
      </c>
      <c r="Z282" s="2">
        <v>26</v>
      </c>
      <c r="AA282" s="2">
        <f t="shared" ref="AA282:AC282" si="3846">_xlfn.RANK.EQ(Z282, Z$7:Z$375,0)</f>
        <v>187</v>
      </c>
      <c r="AB282" s="2">
        <v>91</v>
      </c>
      <c r="AC282" s="2">
        <f t="shared" si="3846"/>
        <v>180</v>
      </c>
      <c r="AD282" s="4">
        <v>0.28599999999999998</v>
      </c>
      <c r="AE282" s="2">
        <f t="shared" ref="AE282:AG282" si="3847">_xlfn.RANK.EQ(AD282, AD$7:AD$375,0)</f>
        <v>236</v>
      </c>
      <c r="AF282" s="2">
        <v>3</v>
      </c>
      <c r="AG282" s="2">
        <f t="shared" si="3847"/>
        <v>314</v>
      </c>
      <c r="AH282" s="2">
        <v>4</v>
      </c>
      <c r="AI282" s="2">
        <f t="shared" ref="AI282:AK282" si="3848">_xlfn.RANK.EQ(AH282, AH$7:AH$375,0)</f>
        <v>321</v>
      </c>
      <c r="AJ282" s="4">
        <v>0.75</v>
      </c>
      <c r="AK282" s="2">
        <f t="shared" si="3848"/>
        <v>148</v>
      </c>
      <c r="AL282" s="2">
        <v>3</v>
      </c>
      <c r="AM282" s="2">
        <f t="shared" ref="AM282:AO282" si="3849">_xlfn.RANK.EQ(AL282, AL$7:AL$375,0)</f>
        <v>319</v>
      </c>
      <c r="AN282" s="2">
        <v>17</v>
      </c>
      <c r="AO282" s="2">
        <f t="shared" si="3849"/>
        <v>296</v>
      </c>
      <c r="AP282" s="2">
        <v>20</v>
      </c>
      <c r="AQ282" s="2">
        <f t="shared" ref="AQ282:AS282" si="3850">_xlfn.RANK.EQ(AP282, AP$7:AP$375,0)</f>
        <v>302</v>
      </c>
      <c r="AR282" s="2">
        <v>25</v>
      </c>
      <c r="AS282" s="2">
        <f t="shared" si="3850"/>
        <v>257</v>
      </c>
      <c r="AT282" s="2">
        <v>9</v>
      </c>
      <c r="AU282" s="2">
        <f t="shared" ref="AU282:AW282" si="3851">_xlfn.RANK.EQ(AT282, AT$7:AT$375,0)</f>
        <v>309</v>
      </c>
      <c r="AV282" s="2">
        <v>9</v>
      </c>
      <c r="AW282" s="2">
        <f t="shared" si="3851"/>
        <v>273</v>
      </c>
      <c r="AX282" s="2">
        <v>1</v>
      </c>
      <c r="AY282" s="2">
        <f t="shared" ref="AY282:BA282" si="3852">_xlfn.RANK.EQ(AX282, AX$7:AX$375,0)</f>
        <v>265</v>
      </c>
      <c r="AZ282" s="2">
        <v>3</v>
      </c>
      <c r="BA282" s="2">
        <f t="shared" si="3852"/>
        <v>267</v>
      </c>
      <c r="BB282" s="2">
        <v>63</v>
      </c>
      <c r="BC282" s="2">
        <f t="shared" ref="BC282:BE282" si="3853">_xlfn.RANK.EQ(BB282, BB$7:BB$375,0)</f>
        <v>235</v>
      </c>
      <c r="BD282" s="2">
        <v>4</v>
      </c>
      <c r="BE282" s="2">
        <f t="shared" si="3853"/>
        <v>329</v>
      </c>
      <c r="BF282" s="2">
        <v>0</v>
      </c>
      <c r="BG282" s="2">
        <f t="shared" ref="BG282:BI282" si="3854">_xlfn.RANK.EQ(BF282, BF$7:BF$375,0)</f>
        <v>342</v>
      </c>
      <c r="BH282" s="2">
        <v>26</v>
      </c>
      <c r="BI282" s="2">
        <f t="shared" si="3854"/>
        <v>114</v>
      </c>
    </row>
    <row r="283" spans="1:61" x14ac:dyDescent="0.55000000000000004">
      <c r="A283" s="2">
        <v>277</v>
      </c>
      <c r="B283" s="2" t="s">
        <v>333</v>
      </c>
      <c r="C283" s="2" t="s">
        <v>44</v>
      </c>
      <c r="D283" s="2">
        <v>45</v>
      </c>
      <c r="E283" s="2">
        <f t="shared" si="3588"/>
        <v>217</v>
      </c>
      <c r="F283" s="2">
        <v>9</v>
      </c>
      <c r="G283" s="2">
        <f t="shared" ref="G283:I283" si="3855">_xlfn.RANK.EQ(F283, F$7:F$375,0)</f>
        <v>206</v>
      </c>
      <c r="H283" s="3">
        <v>18.274999999999999</v>
      </c>
      <c r="I283" s="2">
        <f t="shared" si="3855"/>
        <v>265</v>
      </c>
      <c r="J283" s="5">
        <v>0.40555555555555556</v>
      </c>
      <c r="K283" s="2">
        <f t="shared" ref="K283:M283" si="3856">_xlfn.RANK.EQ(J283, J$7:J$375,0)</f>
        <v>278</v>
      </c>
      <c r="L283" s="2">
        <v>84</v>
      </c>
      <c r="M283" s="2">
        <f t="shared" si="3856"/>
        <v>277</v>
      </c>
      <c r="N283" s="2">
        <v>28</v>
      </c>
      <c r="O283" s="2">
        <f t="shared" ref="O283:Q283" si="3857">_xlfn.RANK.EQ(N283, N$7:N$375,0)</f>
        <v>282</v>
      </c>
      <c r="P283" s="2">
        <v>66</v>
      </c>
      <c r="Q283" s="2">
        <f t="shared" si="3857"/>
        <v>290</v>
      </c>
      <c r="R283" s="4">
        <v>0.42399999999999999</v>
      </c>
      <c r="S283" s="2">
        <f t="shared" ref="S283:U283" si="3858">_xlfn.RANK.EQ(R283, R$7:R$375,0)</f>
        <v>157</v>
      </c>
      <c r="T283" s="2">
        <v>20</v>
      </c>
      <c r="U283" s="2">
        <f t="shared" si="3858"/>
        <v>259</v>
      </c>
      <c r="V283" s="2">
        <v>39</v>
      </c>
      <c r="W283" s="2">
        <f t="shared" ref="W283:Y283" si="3859">_xlfn.RANK.EQ(V283, V$7:V$375,0)</f>
        <v>269</v>
      </c>
      <c r="X283" s="4">
        <v>0.51300000000000001</v>
      </c>
      <c r="Y283" s="2">
        <f t="shared" si="3859"/>
        <v>161</v>
      </c>
      <c r="Z283" s="2">
        <v>8</v>
      </c>
      <c r="AA283" s="2">
        <f t="shared" ref="AA283:AC283" si="3860">_xlfn.RANK.EQ(Z283, Z$7:Z$375,0)</f>
        <v>266</v>
      </c>
      <c r="AB283" s="2">
        <v>27</v>
      </c>
      <c r="AC283" s="2">
        <f t="shared" si="3860"/>
        <v>274</v>
      </c>
      <c r="AD283" s="4">
        <v>0.29599999999999999</v>
      </c>
      <c r="AE283" s="2">
        <f t="shared" ref="AE283:AG283" si="3861">_xlfn.RANK.EQ(AD283, AD$7:AD$375,0)</f>
        <v>217</v>
      </c>
      <c r="AF283" s="2">
        <v>20</v>
      </c>
      <c r="AG283" s="2">
        <f t="shared" si="3861"/>
        <v>212</v>
      </c>
      <c r="AH283" s="2">
        <v>33</v>
      </c>
      <c r="AI283" s="2">
        <f t="shared" ref="AI283:AK283" si="3862">_xlfn.RANK.EQ(AH283, AH$7:AH$375,0)</f>
        <v>201</v>
      </c>
      <c r="AJ283" s="4">
        <v>0.60599999999999998</v>
      </c>
      <c r="AK283" s="2">
        <f t="shared" si="3862"/>
        <v>270</v>
      </c>
      <c r="AL283" s="2">
        <v>15</v>
      </c>
      <c r="AM283" s="2">
        <f t="shared" ref="AM283:AO283" si="3863">_xlfn.RANK.EQ(AL283, AL$7:AL$375,0)</f>
        <v>241</v>
      </c>
      <c r="AN283" s="2">
        <v>25</v>
      </c>
      <c r="AO283" s="2">
        <f t="shared" si="3863"/>
        <v>276</v>
      </c>
      <c r="AP283" s="2">
        <v>40</v>
      </c>
      <c r="AQ283" s="2">
        <f t="shared" ref="AQ283:AS283" si="3864">_xlfn.RANK.EQ(AP283, AP$7:AP$375,0)</f>
        <v>267</v>
      </c>
      <c r="AR283" s="2">
        <v>20</v>
      </c>
      <c r="AS283" s="2">
        <f t="shared" si="3864"/>
        <v>277</v>
      </c>
      <c r="AT283" s="2">
        <v>15</v>
      </c>
      <c r="AU283" s="2">
        <f t="shared" ref="AU283:AW283" si="3865">_xlfn.RANK.EQ(AT283, AT$7:AT$375,0)</f>
        <v>284</v>
      </c>
      <c r="AV283" s="2">
        <v>14</v>
      </c>
      <c r="AW283" s="2">
        <f t="shared" si="3865"/>
        <v>246</v>
      </c>
      <c r="AX283" s="2">
        <v>1</v>
      </c>
      <c r="AY283" s="2">
        <f t="shared" ref="AY283:BA283" si="3866">_xlfn.RANK.EQ(AX283, AX$7:AX$375,0)</f>
        <v>265</v>
      </c>
      <c r="AZ283" s="2">
        <v>5</v>
      </c>
      <c r="BA283" s="2">
        <f t="shared" si="3866"/>
        <v>227</v>
      </c>
      <c r="BB283" s="2">
        <v>102</v>
      </c>
      <c r="BC283" s="2">
        <f t="shared" ref="BC283:BE283" si="3867">_xlfn.RANK.EQ(BB283, BB$7:BB$375,0)</f>
        <v>132</v>
      </c>
      <c r="BD283" s="2">
        <v>29</v>
      </c>
      <c r="BE283" s="2">
        <f t="shared" si="3867"/>
        <v>235</v>
      </c>
      <c r="BF283" s="2">
        <v>15</v>
      </c>
      <c r="BG283" s="2">
        <f t="shared" ref="BG283:BI283" si="3868">_xlfn.RANK.EQ(BF283, BF$7:BF$375,0)</f>
        <v>313</v>
      </c>
      <c r="BH283" s="2">
        <v>21</v>
      </c>
      <c r="BI283" s="2">
        <f t="shared" si="3868"/>
        <v>120</v>
      </c>
    </row>
    <row r="284" spans="1:61" x14ac:dyDescent="0.55000000000000004">
      <c r="A284" s="2">
        <v>278</v>
      </c>
      <c r="B284" s="2" t="s">
        <v>334</v>
      </c>
      <c r="C284" s="2" t="s">
        <v>38</v>
      </c>
      <c r="D284" s="2">
        <v>38</v>
      </c>
      <c r="E284" s="2">
        <f t="shared" si="3588"/>
        <v>253</v>
      </c>
      <c r="F284" s="2">
        <v>2</v>
      </c>
      <c r="G284" s="2">
        <f t="shared" ref="G284:I284" si="3869">_xlfn.RANK.EQ(F284, F$7:F$375,0)</f>
        <v>256</v>
      </c>
      <c r="H284" s="3">
        <v>15.02361111111111</v>
      </c>
      <c r="I284" s="2">
        <f t="shared" si="3869"/>
        <v>276</v>
      </c>
      <c r="J284" s="5">
        <v>0.39513888888888887</v>
      </c>
      <c r="K284" s="2">
        <f t="shared" ref="K284:M284" si="3870">_xlfn.RANK.EQ(J284, J$7:J$375,0)</f>
        <v>282</v>
      </c>
      <c r="L284" s="2">
        <v>83</v>
      </c>
      <c r="M284" s="2">
        <f t="shared" si="3870"/>
        <v>278</v>
      </c>
      <c r="N284" s="2">
        <v>30</v>
      </c>
      <c r="O284" s="2">
        <f t="shared" ref="O284:Q284" si="3871">_xlfn.RANK.EQ(N284, N$7:N$375,0)</f>
        <v>279</v>
      </c>
      <c r="P284" s="2">
        <v>66</v>
      </c>
      <c r="Q284" s="2">
        <f t="shared" si="3871"/>
        <v>290</v>
      </c>
      <c r="R284" s="4">
        <v>0.45500000000000002</v>
      </c>
      <c r="S284" s="2">
        <f t="shared" ref="S284:U284" si="3872">_xlfn.RANK.EQ(R284, R$7:R$375,0)</f>
        <v>110</v>
      </c>
      <c r="T284" s="2">
        <v>7</v>
      </c>
      <c r="U284" s="2">
        <f t="shared" si="3872"/>
        <v>305</v>
      </c>
      <c r="V284" s="2">
        <v>12</v>
      </c>
      <c r="W284" s="2">
        <f t="shared" ref="W284:Y284" si="3873">_xlfn.RANK.EQ(V284, V$7:V$375,0)</f>
        <v>321</v>
      </c>
      <c r="X284" s="4">
        <v>0.58299999999999996</v>
      </c>
      <c r="Y284" s="2">
        <f t="shared" si="3873"/>
        <v>73</v>
      </c>
      <c r="Z284" s="2">
        <v>23</v>
      </c>
      <c r="AA284" s="2">
        <f t="shared" ref="AA284:AC284" si="3874">_xlfn.RANK.EQ(Z284, Z$7:Z$375,0)</f>
        <v>200</v>
      </c>
      <c r="AB284" s="2">
        <v>54</v>
      </c>
      <c r="AC284" s="2">
        <f t="shared" si="3874"/>
        <v>230</v>
      </c>
      <c r="AD284" s="4">
        <v>0.42599999999999999</v>
      </c>
      <c r="AE284" s="2">
        <f t="shared" ref="AE284:AG284" si="3875">_xlfn.RANK.EQ(AD284, AD$7:AD$375,0)</f>
        <v>26</v>
      </c>
      <c r="AF284" s="2">
        <v>0</v>
      </c>
      <c r="AG284" s="2">
        <f t="shared" si="3875"/>
        <v>348</v>
      </c>
      <c r="AH284" s="2">
        <v>0</v>
      </c>
      <c r="AI284" s="2">
        <f t="shared" ref="AI284:AK284" si="3876">_xlfn.RANK.EQ(AH284, AH$7:AH$375,0)</f>
        <v>351</v>
      </c>
      <c r="AJ284" s="4">
        <v>0</v>
      </c>
      <c r="AK284" s="2">
        <f t="shared" si="3876"/>
        <v>348</v>
      </c>
      <c r="AL284" s="2">
        <v>4</v>
      </c>
      <c r="AM284" s="2">
        <f t="shared" ref="AM284:AO284" si="3877">_xlfn.RANK.EQ(AL284, AL$7:AL$375,0)</f>
        <v>305</v>
      </c>
      <c r="AN284" s="2">
        <v>27</v>
      </c>
      <c r="AO284" s="2">
        <f t="shared" si="3877"/>
        <v>269</v>
      </c>
      <c r="AP284" s="2">
        <v>31</v>
      </c>
      <c r="AQ284" s="2">
        <f t="shared" ref="AQ284:AS284" si="3878">_xlfn.RANK.EQ(AP284, AP$7:AP$375,0)</f>
        <v>283</v>
      </c>
      <c r="AR284" s="2">
        <v>17</v>
      </c>
      <c r="AS284" s="2">
        <f t="shared" si="3878"/>
        <v>289</v>
      </c>
      <c r="AT284" s="2">
        <v>8</v>
      </c>
      <c r="AU284" s="2">
        <f t="shared" ref="AU284:AW284" si="3879">_xlfn.RANK.EQ(AT284, AT$7:AT$375,0)</f>
        <v>314</v>
      </c>
      <c r="AV284" s="2">
        <v>9</v>
      </c>
      <c r="AW284" s="2">
        <f t="shared" si="3879"/>
        <v>273</v>
      </c>
      <c r="AX284" s="2">
        <v>4</v>
      </c>
      <c r="AY284" s="2">
        <f t="shared" ref="AY284:BA284" si="3880">_xlfn.RANK.EQ(AX284, AX$7:AX$375,0)</f>
        <v>186</v>
      </c>
      <c r="AZ284" s="2">
        <v>1</v>
      </c>
      <c r="BA284" s="2">
        <f t="shared" si="3880"/>
        <v>308</v>
      </c>
      <c r="BB284" s="2">
        <v>63</v>
      </c>
      <c r="BC284" s="2">
        <f t="shared" ref="BC284:BE284" si="3881">_xlfn.RANK.EQ(BB284, BB$7:BB$375,0)</f>
        <v>235</v>
      </c>
      <c r="BD284" s="2">
        <v>0</v>
      </c>
      <c r="BE284" s="2">
        <f t="shared" si="3881"/>
        <v>357</v>
      </c>
      <c r="BF284" s="2">
        <v>36</v>
      </c>
      <c r="BG284" s="2">
        <f t="shared" ref="BG284:BI284" si="3882">_xlfn.RANK.EQ(BF284, BF$7:BF$375,0)</f>
        <v>290</v>
      </c>
      <c r="BH284" s="2">
        <v>-16</v>
      </c>
      <c r="BI284" s="2">
        <f t="shared" si="3882"/>
        <v>181</v>
      </c>
    </row>
    <row r="285" spans="1:61" x14ac:dyDescent="0.55000000000000004">
      <c r="A285" s="2">
        <v>278</v>
      </c>
      <c r="B285" s="2" t="s">
        <v>335</v>
      </c>
      <c r="C285" s="2" t="s">
        <v>79</v>
      </c>
      <c r="D285" s="2">
        <v>18</v>
      </c>
      <c r="E285" s="2">
        <f t="shared" si="3588"/>
        <v>330</v>
      </c>
      <c r="F285" s="2">
        <v>2</v>
      </c>
      <c r="G285" s="2">
        <f t="shared" ref="G285:I285" si="3883">_xlfn.RANK.EQ(F285, F$7:F$375,0)</f>
        <v>256</v>
      </c>
      <c r="H285" s="3">
        <v>7.6333333333333337</v>
      </c>
      <c r="I285" s="2">
        <f t="shared" si="3883"/>
        <v>308</v>
      </c>
      <c r="J285" s="5">
        <v>0.4236111111111111</v>
      </c>
      <c r="K285" s="2">
        <f t="shared" ref="K285:M285" si="3884">_xlfn.RANK.EQ(J285, J$7:J$375,0)</f>
        <v>273</v>
      </c>
      <c r="L285" s="2">
        <v>83</v>
      </c>
      <c r="M285" s="2">
        <f t="shared" si="3884"/>
        <v>278</v>
      </c>
      <c r="N285" s="2">
        <v>28</v>
      </c>
      <c r="O285" s="2">
        <f t="shared" ref="O285:Q285" si="3885">_xlfn.RANK.EQ(N285, N$7:N$375,0)</f>
        <v>282</v>
      </c>
      <c r="P285" s="2">
        <v>77</v>
      </c>
      <c r="Q285" s="2">
        <f t="shared" si="3885"/>
        <v>281</v>
      </c>
      <c r="R285" s="4">
        <v>0.36399999999999999</v>
      </c>
      <c r="S285" s="2">
        <f t="shared" ref="S285:U285" si="3886">_xlfn.RANK.EQ(R285, R$7:R$375,0)</f>
        <v>256</v>
      </c>
      <c r="T285" s="2">
        <v>2</v>
      </c>
      <c r="U285" s="2">
        <f t="shared" si="3886"/>
        <v>341</v>
      </c>
      <c r="V285" s="2">
        <v>6</v>
      </c>
      <c r="W285" s="2">
        <f t="shared" ref="W285:Y285" si="3887">_xlfn.RANK.EQ(V285, V$7:V$375,0)</f>
        <v>338</v>
      </c>
      <c r="X285" s="4">
        <v>0.33300000000000002</v>
      </c>
      <c r="Y285" s="2">
        <f t="shared" si="3887"/>
        <v>333</v>
      </c>
      <c r="Z285" s="2">
        <v>26</v>
      </c>
      <c r="AA285" s="2">
        <f t="shared" ref="AA285:AC285" si="3888">_xlfn.RANK.EQ(Z285, Z$7:Z$375,0)</f>
        <v>187</v>
      </c>
      <c r="AB285" s="2">
        <v>71</v>
      </c>
      <c r="AC285" s="2">
        <f t="shared" si="3888"/>
        <v>205</v>
      </c>
      <c r="AD285" s="4">
        <v>0.36599999999999999</v>
      </c>
      <c r="AE285" s="2">
        <f t="shared" ref="AE285:AG285" si="3889">_xlfn.RANK.EQ(AD285, AD$7:AD$375,0)</f>
        <v>84</v>
      </c>
      <c r="AF285" s="2">
        <v>1</v>
      </c>
      <c r="AG285" s="2">
        <f t="shared" si="3889"/>
        <v>330</v>
      </c>
      <c r="AH285" s="2">
        <v>2</v>
      </c>
      <c r="AI285" s="2">
        <f t="shared" ref="AI285:AK285" si="3890">_xlfn.RANK.EQ(AH285, AH$7:AH$375,0)</f>
        <v>333</v>
      </c>
      <c r="AJ285" s="4">
        <v>0.5</v>
      </c>
      <c r="AK285" s="2">
        <f t="shared" si="3890"/>
        <v>306</v>
      </c>
      <c r="AL285" s="2">
        <v>0</v>
      </c>
      <c r="AM285" s="2">
        <f t="shared" ref="AM285:AO285" si="3891">_xlfn.RANK.EQ(AL285, AL$7:AL$375,0)</f>
        <v>354</v>
      </c>
      <c r="AN285" s="2">
        <v>8</v>
      </c>
      <c r="AO285" s="2">
        <f t="shared" si="3891"/>
        <v>318</v>
      </c>
      <c r="AP285" s="2">
        <v>8</v>
      </c>
      <c r="AQ285" s="2">
        <f t="shared" ref="AQ285:AS285" si="3892">_xlfn.RANK.EQ(AP285, AP$7:AP$375,0)</f>
        <v>328</v>
      </c>
      <c r="AR285" s="2">
        <v>11</v>
      </c>
      <c r="AS285" s="2">
        <f t="shared" si="3892"/>
        <v>309</v>
      </c>
      <c r="AT285" s="2">
        <v>4</v>
      </c>
      <c r="AU285" s="2">
        <f t="shared" ref="AU285:AW285" si="3893">_xlfn.RANK.EQ(AT285, AT$7:AT$375,0)</f>
        <v>333</v>
      </c>
      <c r="AV285" s="2">
        <v>6</v>
      </c>
      <c r="AW285" s="2">
        <f t="shared" si="3893"/>
        <v>293</v>
      </c>
      <c r="AX285" s="2">
        <v>0</v>
      </c>
      <c r="AY285" s="2">
        <f t="shared" ref="AY285:BA285" si="3894">_xlfn.RANK.EQ(AX285, AX$7:AX$375,0)</f>
        <v>298</v>
      </c>
      <c r="AZ285" s="2">
        <v>1</v>
      </c>
      <c r="BA285" s="2">
        <f t="shared" si="3894"/>
        <v>308</v>
      </c>
      <c r="BB285" s="2">
        <v>17</v>
      </c>
      <c r="BC285" s="2">
        <f t="shared" ref="BC285:BE285" si="3895">_xlfn.RANK.EQ(BB285, BB$7:BB$375,0)</f>
        <v>325</v>
      </c>
      <c r="BD285" s="2">
        <v>6</v>
      </c>
      <c r="BE285" s="2">
        <f t="shared" si="3895"/>
        <v>317</v>
      </c>
      <c r="BF285" s="2">
        <v>42</v>
      </c>
      <c r="BG285" s="2">
        <f t="shared" ref="BG285:BI285" si="3896">_xlfn.RANK.EQ(BF285, BF$7:BF$375,0)</f>
        <v>283</v>
      </c>
      <c r="BH285" s="2">
        <v>-96</v>
      </c>
      <c r="BI285" s="2">
        <f t="shared" si="3896"/>
        <v>275</v>
      </c>
    </row>
    <row r="286" spans="1:61" x14ac:dyDescent="0.55000000000000004">
      <c r="A286" s="2">
        <v>278</v>
      </c>
      <c r="B286" s="2" t="s">
        <v>336</v>
      </c>
      <c r="C286" s="2" t="s">
        <v>46</v>
      </c>
      <c r="D286" s="2">
        <v>47</v>
      </c>
      <c r="E286" s="2">
        <f t="shared" si="3588"/>
        <v>207</v>
      </c>
      <c r="F286" s="2">
        <v>25</v>
      </c>
      <c r="G286" s="2">
        <f t="shared" ref="G286:I286" si="3897">_xlfn.RANK.EQ(F286, F$7:F$375,0)</f>
        <v>132</v>
      </c>
      <c r="H286" s="3">
        <v>22.834027777777777</v>
      </c>
      <c r="I286" s="2">
        <f t="shared" si="3897"/>
        <v>236</v>
      </c>
      <c r="J286" s="5">
        <v>0.48541666666666666</v>
      </c>
      <c r="K286" s="2">
        <f t="shared" ref="K286:M286" si="3898">_xlfn.RANK.EQ(J286, J$7:J$375,0)</f>
        <v>253</v>
      </c>
      <c r="L286" s="2">
        <v>83</v>
      </c>
      <c r="M286" s="2">
        <f t="shared" si="3898"/>
        <v>278</v>
      </c>
      <c r="N286" s="2">
        <v>33</v>
      </c>
      <c r="O286" s="2">
        <f t="shared" ref="O286:Q286" si="3899">_xlfn.RANK.EQ(N286, N$7:N$375,0)</f>
        <v>274</v>
      </c>
      <c r="P286" s="2">
        <v>91</v>
      </c>
      <c r="Q286" s="2">
        <f t="shared" si="3899"/>
        <v>271</v>
      </c>
      <c r="R286" s="4">
        <v>0.36299999999999999</v>
      </c>
      <c r="S286" s="2">
        <f t="shared" ref="S286:U286" si="3900">_xlfn.RANK.EQ(R286, R$7:R$375,0)</f>
        <v>258</v>
      </c>
      <c r="T286" s="2">
        <v>21</v>
      </c>
      <c r="U286" s="2">
        <f t="shared" si="3900"/>
        <v>255</v>
      </c>
      <c r="V286" s="2">
        <v>28</v>
      </c>
      <c r="W286" s="2">
        <f t="shared" ref="W286:Y286" si="3901">_xlfn.RANK.EQ(V286, V$7:V$375,0)</f>
        <v>286</v>
      </c>
      <c r="X286" s="4">
        <v>0.75</v>
      </c>
      <c r="Y286" s="2">
        <f t="shared" si="3901"/>
        <v>5</v>
      </c>
      <c r="Z286" s="2">
        <v>12</v>
      </c>
      <c r="AA286" s="2">
        <f t="shared" ref="AA286:AC286" si="3902">_xlfn.RANK.EQ(Z286, Z$7:Z$375,0)</f>
        <v>246</v>
      </c>
      <c r="AB286" s="2">
        <v>63</v>
      </c>
      <c r="AC286" s="2">
        <f t="shared" si="3902"/>
        <v>213</v>
      </c>
      <c r="AD286" s="4">
        <v>0.19</v>
      </c>
      <c r="AE286" s="2">
        <f t="shared" ref="AE286:AG286" si="3903">_xlfn.RANK.EQ(AD286, AD$7:AD$375,0)</f>
        <v>312</v>
      </c>
      <c r="AF286" s="2">
        <v>5</v>
      </c>
      <c r="AG286" s="2">
        <f t="shared" si="3903"/>
        <v>297</v>
      </c>
      <c r="AH286" s="2">
        <v>11</v>
      </c>
      <c r="AI286" s="2">
        <f t="shared" ref="AI286:AK286" si="3904">_xlfn.RANK.EQ(AH286, AH$7:AH$375,0)</f>
        <v>287</v>
      </c>
      <c r="AJ286" s="4">
        <v>0.45500000000000002</v>
      </c>
      <c r="AK286" s="2">
        <f t="shared" si="3904"/>
        <v>334</v>
      </c>
      <c r="AL286" s="2">
        <v>21</v>
      </c>
      <c r="AM286" s="2">
        <f t="shared" ref="AM286:AO286" si="3905">_xlfn.RANK.EQ(AL286, AL$7:AL$375,0)</f>
        <v>193</v>
      </c>
      <c r="AN286" s="2">
        <v>32</v>
      </c>
      <c r="AO286" s="2">
        <f t="shared" si="3905"/>
        <v>253</v>
      </c>
      <c r="AP286" s="2">
        <v>53</v>
      </c>
      <c r="AQ286" s="2">
        <f t="shared" ref="AQ286:AS286" si="3906">_xlfn.RANK.EQ(AP286, AP$7:AP$375,0)</f>
        <v>239</v>
      </c>
      <c r="AR286" s="2">
        <v>22</v>
      </c>
      <c r="AS286" s="2">
        <f t="shared" si="3906"/>
        <v>272</v>
      </c>
      <c r="AT286" s="2">
        <v>13</v>
      </c>
      <c r="AU286" s="2">
        <f t="shared" ref="AU286:AW286" si="3907">_xlfn.RANK.EQ(AT286, AT$7:AT$375,0)</f>
        <v>291</v>
      </c>
      <c r="AV286" s="2">
        <v>23</v>
      </c>
      <c r="AW286" s="2">
        <f t="shared" si="3907"/>
        <v>190</v>
      </c>
      <c r="AX286" s="2">
        <v>0</v>
      </c>
      <c r="AY286" s="2">
        <f t="shared" ref="AY286:BA286" si="3908">_xlfn.RANK.EQ(AX286, AX$7:AX$375,0)</f>
        <v>298</v>
      </c>
      <c r="AZ286" s="2">
        <v>2</v>
      </c>
      <c r="BA286" s="2">
        <f t="shared" si="3908"/>
        <v>285</v>
      </c>
      <c r="BB286" s="2">
        <v>85</v>
      </c>
      <c r="BC286" s="2">
        <f t="shared" ref="BC286:BE286" si="3909">_xlfn.RANK.EQ(BB286, BB$7:BB$375,0)</f>
        <v>176</v>
      </c>
      <c r="BD286" s="2">
        <v>27</v>
      </c>
      <c r="BE286" s="2">
        <f t="shared" si="3909"/>
        <v>243</v>
      </c>
      <c r="BF286" s="2">
        <v>44</v>
      </c>
      <c r="BG286" s="2">
        <f t="shared" ref="BG286:BI286" si="3910">_xlfn.RANK.EQ(BF286, BF$7:BF$375,0)</f>
        <v>282</v>
      </c>
      <c r="BH286" s="2">
        <v>34</v>
      </c>
      <c r="BI286" s="2">
        <f t="shared" si="3910"/>
        <v>111</v>
      </c>
    </row>
    <row r="287" spans="1:61" x14ac:dyDescent="0.55000000000000004">
      <c r="A287" s="2">
        <v>281</v>
      </c>
      <c r="B287" s="2" t="s">
        <v>337</v>
      </c>
      <c r="C287" s="2" t="s">
        <v>84</v>
      </c>
      <c r="D287" s="2">
        <v>60</v>
      </c>
      <c r="E287" s="2">
        <f t="shared" si="3588"/>
        <v>1</v>
      </c>
      <c r="F287" s="2">
        <v>2</v>
      </c>
      <c r="G287" s="2">
        <f t="shared" ref="G287:I287" si="3911">_xlfn.RANK.EQ(F287, F$7:F$375,0)</f>
        <v>256</v>
      </c>
      <c r="H287" s="3">
        <v>29.112500000000001</v>
      </c>
      <c r="I287" s="2">
        <f t="shared" si="3911"/>
        <v>208</v>
      </c>
      <c r="J287" s="5">
        <v>0.48472222222222222</v>
      </c>
      <c r="K287" s="2">
        <f t="shared" ref="K287:M287" si="3912">_xlfn.RANK.EQ(J287, J$7:J$375,0)</f>
        <v>254</v>
      </c>
      <c r="L287" s="2">
        <v>77</v>
      </c>
      <c r="M287" s="2">
        <f t="shared" si="3912"/>
        <v>281</v>
      </c>
      <c r="N287" s="2">
        <v>27</v>
      </c>
      <c r="O287" s="2">
        <f t="shared" ref="O287:Q287" si="3913">_xlfn.RANK.EQ(N287, N$7:N$375,0)</f>
        <v>286</v>
      </c>
      <c r="P287" s="2">
        <v>72</v>
      </c>
      <c r="Q287" s="2">
        <f t="shared" si="3913"/>
        <v>287</v>
      </c>
      <c r="R287" s="4">
        <v>0.375</v>
      </c>
      <c r="S287" s="2">
        <f t="shared" ref="S287:U287" si="3914">_xlfn.RANK.EQ(R287, R$7:R$375,0)</f>
        <v>238</v>
      </c>
      <c r="T287" s="2">
        <v>13</v>
      </c>
      <c r="U287" s="2">
        <f t="shared" si="3914"/>
        <v>284</v>
      </c>
      <c r="V287" s="2">
        <v>31</v>
      </c>
      <c r="W287" s="2">
        <f t="shared" ref="W287:Y287" si="3915">_xlfn.RANK.EQ(V287, V$7:V$375,0)</f>
        <v>280</v>
      </c>
      <c r="X287" s="4">
        <v>0.41899999999999998</v>
      </c>
      <c r="Y287" s="2">
        <f t="shared" si="3915"/>
        <v>280</v>
      </c>
      <c r="Z287" s="2">
        <v>14</v>
      </c>
      <c r="AA287" s="2">
        <f t="shared" ref="AA287:AC287" si="3916">_xlfn.RANK.EQ(Z287, Z$7:Z$375,0)</f>
        <v>236</v>
      </c>
      <c r="AB287" s="2">
        <v>41</v>
      </c>
      <c r="AC287" s="2">
        <f t="shared" si="3916"/>
        <v>250</v>
      </c>
      <c r="AD287" s="4">
        <v>0.34100000000000003</v>
      </c>
      <c r="AE287" s="2">
        <f t="shared" ref="AE287:AG287" si="3917">_xlfn.RANK.EQ(AD287, AD$7:AD$375,0)</f>
        <v>131</v>
      </c>
      <c r="AF287" s="2">
        <v>9</v>
      </c>
      <c r="AG287" s="2">
        <f t="shared" si="3917"/>
        <v>278</v>
      </c>
      <c r="AH287" s="2">
        <v>14</v>
      </c>
      <c r="AI287" s="2">
        <f t="shared" ref="AI287:AK287" si="3918">_xlfn.RANK.EQ(AH287, AH$7:AH$375,0)</f>
        <v>271</v>
      </c>
      <c r="AJ287" s="4">
        <v>0.64300000000000002</v>
      </c>
      <c r="AK287" s="2">
        <f t="shared" si="3918"/>
        <v>249</v>
      </c>
      <c r="AL287" s="2">
        <v>18</v>
      </c>
      <c r="AM287" s="2">
        <f t="shared" ref="AM287:AO287" si="3919">_xlfn.RANK.EQ(AL287, AL$7:AL$375,0)</f>
        <v>215</v>
      </c>
      <c r="AN287" s="2">
        <v>45</v>
      </c>
      <c r="AO287" s="2">
        <f t="shared" si="3919"/>
        <v>210</v>
      </c>
      <c r="AP287" s="2">
        <v>63</v>
      </c>
      <c r="AQ287" s="2">
        <f t="shared" ref="AQ287:AS287" si="3920">_xlfn.RANK.EQ(AP287, AP$7:AP$375,0)</f>
        <v>220</v>
      </c>
      <c r="AR287" s="2">
        <v>30</v>
      </c>
      <c r="AS287" s="2">
        <f t="shared" si="3920"/>
        <v>249</v>
      </c>
      <c r="AT287" s="2">
        <v>21</v>
      </c>
      <c r="AU287" s="2">
        <f t="shared" ref="AU287:AW287" si="3921">_xlfn.RANK.EQ(AT287, AT$7:AT$375,0)</f>
        <v>247</v>
      </c>
      <c r="AV287" s="2">
        <v>9</v>
      </c>
      <c r="AW287" s="2">
        <f t="shared" si="3921"/>
        <v>273</v>
      </c>
      <c r="AX287" s="2">
        <v>8</v>
      </c>
      <c r="AY287" s="2">
        <f t="shared" ref="AY287:BA287" si="3922">_xlfn.RANK.EQ(AX287, AX$7:AX$375,0)</f>
        <v>125</v>
      </c>
      <c r="AZ287" s="2">
        <v>5</v>
      </c>
      <c r="BA287" s="2">
        <f t="shared" si="3922"/>
        <v>227</v>
      </c>
      <c r="BB287" s="2">
        <v>72</v>
      </c>
      <c r="BC287" s="2">
        <f t="shared" ref="BC287:BE287" si="3923">_xlfn.RANK.EQ(BB287, BB$7:BB$375,0)</f>
        <v>208</v>
      </c>
      <c r="BD287" s="2">
        <v>18</v>
      </c>
      <c r="BE287" s="2">
        <f t="shared" si="3923"/>
        <v>273</v>
      </c>
      <c r="BF287" s="2">
        <v>57</v>
      </c>
      <c r="BG287" s="2">
        <f t="shared" ref="BG287:BI287" si="3924">_xlfn.RANK.EQ(BF287, BF$7:BF$375,0)</f>
        <v>271</v>
      </c>
      <c r="BH287" s="2">
        <v>-225</v>
      </c>
      <c r="BI287" s="2">
        <f t="shared" si="3924"/>
        <v>345</v>
      </c>
    </row>
    <row r="288" spans="1:61" x14ac:dyDescent="0.55000000000000004">
      <c r="A288" s="2">
        <v>282</v>
      </c>
      <c r="B288" s="2" t="s">
        <v>338</v>
      </c>
      <c r="C288" s="2" t="s">
        <v>34</v>
      </c>
      <c r="D288" s="2">
        <v>43</v>
      </c>
      <c r="E288" s="2">
        <f t="shared" si="3588"/>
        <v>234</v>
      </c>
      <c r="F288" s="2">
        <v>2</v>
      </c>
      <c r="G288" s="2">
        <f t="shared" ref="G288:I288" si="3925">_xlfn.RANK.EQ(F288, F$7:F$375,0)</f>
        <v>256</v>
      </c>
      <c r="H288" s="3">
        <v>15.75763888888889</v>
      </c>
      <c r="I288" s="2">
        <f t="shared" si="3925"/>
        <v>273</v>
      </c>
      <c r="J288" s="5">
        <v>0.3659722222222222</v>
      </c>
      <c r="K288" s="2">
        <f t="shared" ref="K288:M288" si="3926">_xlfn.RANK.EQ(J288, J$7:J$375,0)</f>
        <v>290</v>
      </c>
      <c r="L288" s="2">
        <v>76</v>
      </c>
      <c r="M288" s="2">
        <f t="shared" si="3926"/>
        <v>282</v>
      </c>
      <c r="N288" s="2">
        <v>28</v>
      </c>
      <c r="O288" s="2">
        <f t="shared" ref="O288:Q288" si="3927">_xlfn.RANK.EQ(N288, N$7:N$375,0)</f>
        <v>282</v>
      </c>
      <c r="P288" s="2">
        <v>45</v>
      </c>
      <c r="Q288" s="2">
        <f t="shared" si="3927"/>
        <v>312</v>
      </c>
      <c r="R288" s="4">
        <v>0.622</v>
      </c>
      <c r="S288" s="2">
        <f t="shared" ref="S288:U288" si="3928">_xlfn.RANK.EQ(R288, R$7:R$375,0)</f>
        <v>8</v>
      </c>
      <c r="T288" s="2">
        <v>27</v>
      </c>
      <c r="U288" s="2">
        <f t="shared" si="3928"/>
        <v>237</v>
      </c>
      <c r="V288" s="2">
        <v>40</v>
      </c>
      <c r="W288" s="2">
        <f t="shared" ref="W288:Y288" si="3929">_xlfn.RANK.EQ(V288, V$7:V$375,0)</f>
        <v>266</v>
      </c>
      <c r="X288" s="4">
        <v>0.67500000000000004</v>
      </c>
      <c r="Y288" s="2">
        <f t="shared" si="3929"/>
        <v>13</v>
      </c>
      <c r="Z288" s="2">
        <v>1</v>
      </c>
      <c r="AA288" s="2">
        <f t="shared" ref="AA288:AC288" si="3930">_xlfn.RANK.EQ(Z288, Z$7:Z$375,0)</f>
        <v>320</v>
      </c>
      <c r="AB288" s="2">
        <v>5</v>
      </c>
      <c r="AC288" s="2">
        <f t="shared" si="3930"/>
        <v>320</v>
      </c>
      <c r="AD288" s="4">
        <v>0.2</v>
      </c>
      <c r="AE288" s="2">
        <f t="shared" ref="AE288:AG288" si="3931">_xlfn.RANK.EQ(AD288, AD$7:AD$375,0)</f>
        <v>303</v>
      </c>
      <c r="AF288" s="2">
        <v>19</v>
      </c>
      <c r="AG288" s="2">
        <f t="shared" si="3931"/>
        <v>221</v>
      </c>
      <c r="AH288" s="2">
        <v>26</v>
      </c>
      <c r="AI288" s="2">
        <f t="shared" ref="AI288:AK288" si="3932">_xlfn.RANK.EQ(AH288, AH$7:AH$375,0)</f>
        <v>222</v>
      </c>
      <c r="AJ288" s="4">
        <v>0.73099999999999998</v>
      </c>
      <c r="AK288" s="2">
        <f t="shared" si="3932"/>
        <v>173</v>
      </c>
      <c r="AL288" s="2">
        <v>16</v>
      </c>
      <c r="AM288" s="2">
        <f t="shared" ref="AM288:AO288" si="3933">_xlfn.RANK.EQ(AL288, AL$7:AL$375,0)</f>
        <v>233</v>
      </c>
      <c r="AN288" s="2">
        <v>25</v>
      </c>
      <c r="AO288" s="2">
        <f t="shared" si="3933"/>
        <v>276</v>
      </c>
      <c r="AP288" s="2">
        <v>41</v>
      </c>
      <c r="AQ288" s="2">
        <f t="shared" ref="AQ288:AS288" si="3934">_xlfn.RANK.EQ(AP288, AP$7:AP$375,0)</f>
        <v>266</v>
      </c>
      <c r="AR288" s="2">
        <v>16</v>
      </c>
      <c r="AS288" s="2">
        <f t="shared" si="3934"/>
        <v>292</v>
      </c>
      <c r="AT288" s="2">
        <v>9</v>
      </c>
      <c r="AU288" s="2">
        <f t="shared" ref="AU288:AW288" si="3935">_xlfn.RANK.EQ(AT288, AT$7:AT$375,0)</f>
        <v>309</v>
      </c>
      <c r="AV288" s="2">
        <v>6</v>
      </c>
      <c r="AW288" s="2">
        <f t="shared" si="3935"/>
        <v>293</v>
      </c>
      <c r="AX288" s="2">
        <v>1</v>
      </c>
      <c r="AY288" s="2">
        <f t="shared" ref="AY288:BA288" si="3936">_xlfn.RANK.EQ(AX288, AX$7:AX$375,0)</f>
        <v>265</v>
      </c>
      <c r="AZ288" s="2">
        <v>2</v>
      </c>
      <c r="BA288" s="2">
        <f t="shared" si="3936"/>
        <v>285</v>
      </c>
      <c r="BB288" s="2">
        <v>63</v>
      </c>
      <c r="BC288" s="2">
        <f t="shared" ref="BC288:BE288" si="3937">_xlfn.RANK.EQ(BB288, BB$7:BB$375,0)</f>
        <v>235</v>
      </c>
      <c r="BD288" s="2">
        <v>22</v>
      </c>
      <c r="BE288" s="2">
        <f t="shared" si="3937"/>
        <v>261</v>
      </c>
      <c r="BF288" s="2">
        <v>64</v>
      </c>
      <c r="BG288" s="2">
        <f t="shared" ref="BG288:BI288" si="3938">_xlfn.RANK.EQ(BF288, BF$7:BF$375,0)</f>
        <v>267</v>
      </c>
      <c r="BH288" s="2">
        <v>20</v>
      </c>
      <c r="BI288" s="2">
        <f t="shared" si="3938"/>
        <v>121</v>
      </c>
    </row>
    <row r="289" spans="1:61" x14ac:dyDescent="0.55000000000000004">
      <c r="A289" s="2">
        <v>283</v>
      </c>
      <c r="B289" s="2" t="s">
        <v>339</v>
      </c>
      <c r="C289" s="2" t="s">
        <v>34</v>
      </c>
      <c r="D289" s="2">
        <v>44</v>
      </c>
      <c r="E289" s="2">
        <f t="shared" si="3588"/>
        <v>224</v>
      </c>
      <c r="F289" s="2">
        <v>0</v>
      </c>
      <c r="G289" s="2">
        <f t="shared" ref="G289:I289" si="3939">_xlfn.RANK.EQ(F289, F$7:F$375,0)</f>
        <v>291</v>
      </c>
      <c r="H289" s="3">
        <v>13.094444444444445</v>
      </c>
      <c r="I289" s="2">
        <f t="shared" si="3939"/>
        <v>285</v>
      </c>
      <c r="J289" s="5">
        <v>0.29722222222222222</v>
      </c>
      <c r="K289" s="2">
        <f t="shared" ref="K289:M289" si="3940">_xlfn.RANK.EQ(J289, J$7:J$375,0)</f>
        <v>306</v>
      </c>
      <c r="L289" s="2">
        <v>75</v>
      </c>
      <c r="M289" s="2">
        <f t="shared" si="3940"/>
        <v>283</v>
      </c>
      <c r="N289" s="2">
        <v>26</v>
      </c>
      <c r="O289" s="2">
        <f t="shared" ref="O289:Q289" si="3941">_xlfn.RANK.EQ(N289, N$7:N$375,0)</f>
        <v>289</v>
      </c>
      <c r="P289" s="2">
        <v>73</v>
      </c>
      <c r="Q289" s="2">
        <f t="shared" si="3941"/>
        <v>284</v>
      </c>
      <c r="R289" s="4">
        <v>0.35599999999999998</v>
      </c>
      <c r="S289" s="2">
        <f t="shared" ref="S289:U289" si="3942">_xlfn.RANK.EQ(R289, R$7:R$375,0)</f>
        <v>266</v>
      </c>
      <c r="T289" s="2">
        <v>6</v>
      </c>
      <c r="U289" s="2">
        <f t="shared" si="3942"/>
        <v>314</v>
      </c>
      <c r="V289" s="2">
        <v>17</v>
      </c>
      <c r="W289" s="2">
        <f t="shared" ref="W289:Y289" si="3943">_xlfn.RANK.EQ(V289, V$7:V$375,0)</f>
        <v>307</v>
      </c>
      <c r="X289" s="4">
        <v>0.35299999999999998</v>
      </c>
      <c r="Y289" s="2">
        <f t="shared" si="3943"/>
        <v>324</v>
      </c>
      <c r="Z289" s="2">
        <v>20</v>
      </c>
      <c r="AA289" s="2">
        <f t="shared" ref="AA289:AC289" si="3944">_xlfn.RANK.EQ(Z289, Z$7:Z$375,0)</f>
        <v>208</v>
      </c>
      <c r="AB289" s="2">
        <v>56</v>
      </c>
      <c r="AC289" s="2">
        <f t="shared" si="3944"/>
        <v>226</v>
      </c>
      <c r="AD289" s="4">
        <v>0.35699999999999998</v>
      </c>
      <c r="AE289" s="2">
        <f t="shared" ref="AE289:AG289" si="3945">_xlfn.RANK.EQ(AD289, AD$7:AD$375,0)</f>
        <v>100</v>
      </c>
      <c r="AF289" s="2">
        <v>3</v>
      </c>
      <c r="AG289" s="2">
        <f t="shared" si="3945"/>
        <v>314</v>
      </c>
      <c r="AH289" s="2">
        <v>4</v>
      </c>
      <c r="AI289" s="2">
        <f t="shared" ref="AI289:AK289" si="3946">_xlfn.RANK.EQ(AH289, AH$7:AH$375,0)</f>
        <v>321</v>
      </c>
      <c r="AJ289" s="4">
        <v>0.75</v>
      </c>
      <c r="AK289" s="2">
        <f t="shared" si="3946"/>
        <v>148</v>
      </c>
      <c r="AL289" s="2">
        <v>6</v>
      </c>
      <c r="AM289" s="2">
        <f t="shared" ref="AM289:AO289" si="3947">_xlfn.RANK.EQ(AL289, AL$7:AL$375,0)</f>
        <v>296</v>
      </c>
      <c r="AN289" s="2">
        <v>18</v>
      </c>
      <c r="AO289" s="2">
        <f t="shared" si="3947"/>
        <v>293</v>
      </c>
      <c r="AP289" s="2">
        <v>24</v>
      </c>
      <c r="AQ289" s="2">
        <f t="shared" ref="AQ289:AS289" si="3948">_xlfn.RANK.EQ(AP289, AP$7:AP$375,0)</f>
        <v>299</v>
      </c>
      <c r="AR289" s="2">
        <v>18</v>
      </c>
      <c r="AS289" s="2">
        <f t="shared" si="3948"/>
        <v>285</v>
      </c>
      <c r="AT289" s="2">
        <v>13</v>
      </c>
      <c r="AU289" s="2">
        <f t="shared" ref="AU289:AW289" si="3949">_xlfn.RANK.EQ(AT289, AT$7:AT$375,0)</f>
        <v>291</v>
      </c>
      <c r="AV289" s="2">
        <v>11</v>
      </c>
      <c r="AW289" s="2">
        <f t="shared" si="3949"/>
        <v>266</v>
      </c>
      <c r="AX289" s="2">
        <v>2</v>
      </c>
      <c r="AY289" s="2">
        <f t="shared" ref="AY289:BA289" si="3950">_xlfn.RANK.EQ(AX289, AX$7:AX$375,0)</f>
        <v>234</v>
      </c>
      <c r="AZ289" s="2">
        <v>2</v>
      </c>
      <c r="BA289" s="2">
        <f t="shared" si="3950"/>
        <v>285</v>
      </c>
      <c r="BB289" s="2">
        <v>48</v>
      </c>
      <c r="BC289" s="2">
        <f t="shared" ref="BC289:BE289" si="3951">_xlfn.RANK.EQ(BB289, BB$7:BB$375,0)</f>
        <v>268</v>
      </c>
      <c r="BD289" s="2">
        <v>7</v>
      </c>
      <c r="BE289" s="2">
        <f t="shared" si="3951"/>
        <v>312</v>
      </c>
      <c r="BF289" s="2">
        <v>26</v>
      </c>
      <c r="BG289" s="2">
        <f t="shared" ref="BG289:BI289" si="3952">_xlfn.RANK.EQ(BF289, BF$7:BF$375,0)</f>
        <v>296</v>
      </c>
      <c r="BH289" s="2">
        <v>-16</v>
      </c>
      <c r="BI289" s="2">
        <f t="shared" si="3952"/>
        <v>181</v>
      </c>
    </row>
    <row r="290" spans="1:61" x14ac:dyDescent="0.55000000000000004">
      <c r="A290" s="2">
        <v>283</v>
      </c>
      <c r="B290" s="2" t="s">
        <v>340</v>
      </c>
      <c r="C290" s="2" t="s">
        <v>86</v>
      </c>
      <c r="D290" s="2">
        <v>52</v>
      </c>
      <c r="E290" s="2">
        <f t="shared" si="3588"/>
        <v>176</v>
      </c>
      <c r="F290" s="2">
        <v>18</v>
      </c>
      <c r="G290" s="2">
        <f t="shared" ref="G290:I290" si="3953">_xlfn.RANK.EQ(F290, F$7:F$375,0)</f>
        <v>164</v>
      </c>
      <c r="H290" s="3">
        <v>24.830555555555556</v>
      </c>
      <c r="I290" s="2">
        <f t="shared" si="3953"/>
        <v>230</v>
      </c>
      <c r="J290" s="5">
        <v>0.47708333333333336</v>
      </c>
      <c r="K290" s="2">
        <f t="shared" ref="K290:M290" si="3954">_xlfn.RANK.EQ(J290, J$7:J$375,0)</f>
        <v>256</v>
      </c>
      <c r="L290" s="2">
        <v>75</v>
      </c>
      <c r="M290" s="2">
        <f t="shared" si="3954"/>
        <v>283</v>
      </c>
      <c r="N290" s="2">
        <v>24</v>
      </c>
      <c r="O290" s="2">
        <f t="shared" ref="O290:Q290" si="3955">_xlfn.RANK.EQ(N290, N$7:N$375,0)</f>
        <v>294</v>
      </c>
      <c r="P290" s="2">
        <v>61</v>
      </c>
      <c r="Q290" s="2">
        <f t="shared" si="3955"/>
        <v>298</v>
      </c>
      <c r="R290" s="4">
        <v>0.39300000000000002</v>
      </c>
      <c r="S290" s="2">
        <f t="shared" ref="S290:U290" si="3956">_xlfn.RANK.EQ(R290, R$7:R$375,0)</f>
        <v>217</v>
      </c>
      <c r="T290" s="2">
        <v>8</v>
      </c>
      <c r="U290" s="2">
        <f t="shared" si="3956"/>
        <v>301</v>
      </c>
      <c r="V290" s="2">
        <v>18</v>
      </c>
      <c r="W290" s="2">
        <f t="shared" ref="W290:Y290" si="3957">_xlfn.RANK.EQ(V290, V$7:V$375,0)</f>
        <v>305</v>
      </c>
      <c r="X290" s="4">
        <v>0.44400000000000001</v>
      </c>
      <c r="Y290" s="2">
        <f t="shared" si="3957"/>
        <v>250</v>
      </c>
      <c r="Z290" s="2">
        <v>16</v>
      </c>
      <c r="AA290" s="2">
        <f t="shared" ref="AA290:AC290" si="3958">_xlfn.RANK.EQ(Z290, Z$7:Z$375,0)</f>
        <v>222</v>
      </c>
      <c r="AB290" s="2">
        <v>43</v>
      </c>
      <c r="AC290" s="2">
        <f t="shared" si="3958"/>
        <v>247</v>
      </c>
      <c r="AD290" s="4">
        <v>0.372</v>
      </c>
      <c r="AE290" s="2">
        <f t="shared" ref="AE290:AG290" si="3959">_xlfn.RANK.EQ(AD290, AD$7:AD$375,0)</f>
        <v>79</v>
      </c>
      <c r="AF290" s="2">
        <v>11</v>
      </c>
      <c r="AG290" s="2">
        <f t="shared" si="3959"/>
        <v>268</v>
      </c>
      <c r="AH290" s="2">
        <v>11</v>
      </c>
      <c r="AI290" s="2">
        <f t="shared" ref="AI290:AK290" si="3960">_xlfn.RANK.EQ(AH290, AH$7:AH$375,0)</f>
        <v>287</v>
      </c>
      <c r="AJ290" s="4">
        <v>1</v>
      </c>
      <c r="AK290" s="2">
        <f t="shared" si="3960"/>
        <v>1</v>
      </c>
      <c r="AL290" s="2">
        <v>12</v>
      </c>
      <c r="AM290" s="2">
        <f t="shared" ref="AM290:AO290" si="3961">_xlfn.RANK.EQ(AL290, AL$7:AL$375,0)</f>
        <v>264</v>
      </c>
      <c r="AN290" s="2">
        <v>32</v>
      </c>
      <c r="AO290" s="2">
        <f t="shared" si="3961"/>
        <v>253</v>
      </c>
      <c r="AP290" s="2">
        <v>44</v>
      </c>
      <c r="AQ290" s="2">
        <f t="shared" ref="AQ290:AS290" si="3962">_xlfn.RANK.EQ(AP290, AP$7:AP$375,0)</f>
        <v>259</v>
      </c>
      <c r="AR290" s="2">
        <v>25</v>
      </c>
      <c r="AS290" s="2">
        <f t="shared" si="3962"/>
        <v>257</v>
      </c>
      <c r="AT290" s="2">
        <v>19</v>
      </c>
      <c r="AU290" s="2">
        <f t="shared" ref="AU290:AW290" si="3963">_xlfn.RANK.EQ(AT290, AT$7:AT$375,0)</f>
        <v>259</v>
      </c>
      <c r="AV290" s="2">
        <v>24</v>
      </c>
      <c r="AW290" s="2">
        <f t="shared" si="3963"/>
        <v>180</v>
      </c>
      <c r="AX290" s="2">
        <v>4</v>
      </c>
      <c r="AY290" s="2">
        <f t="shared" ref="AY290:BA290" si="3964">_xlfn.RANK.EQ(AX290, AX$7:AX$375,0)</f>
        <v>186</v>
      </c>
      <c r="AZ290" s="2">
        <v>1</v>
      </c>
      <c r="BA290" s="2">
        <f t="shared" si="3964"/>
        <v>308</v>
      </c>
      <c r="BB290" s="2">
        <v>85</v>
      </c>
      <c r="BC290" s="2">
        <f t="shared" ref="BC290:BE290" si="3965">_xlfn.RANK.EQ(BB290, BB$7:BB$375,0)</f>
        <v>176</v>
      </c>
      <c r="BD290" s="2">
        <v>15</v>
      </c>
      <c r="BE290" s="2">
        <f t="shared" si="3965"/>
        <v>282</v>
      </c>
      <c r="BF290" s="2">
        <v>45</v>
      </c>
      <c r="BG290" s="2">
        <f t="shared" ref="BG290:BI290" si="3966">_xlfn.RANK.EQ(BF290, BF$7:BF$375,0)</f>
        <v>280</v>
      </c>
      <c r="BH290" s="2">
        <v>-153</v>
      </c>
      <c r="BI290" s="2">
        <f t="shared" si="3966"/>
        <v>320</v>
      </c>
    </row>
    <row r="291" spans="1:61" x14ac:dyDescent="0.55000000000000004">
      <c r="A291" s="2">
        <v>285</v>
      </c>
      <c r="B291" s="2" t="s">
        <v>341</v>
      </c>
      <c r="C291" s="2" t="s">
        <v>86</v>
      </c>
      <c r="D291" s="2">
        <v>37</v>
      </c>
      <c r="E291" s="2">
        <f t="shared" si="3588"/>
        <v>256</v>
      </c>
      <c r="F291" s="2">
        <v>0</v>
      </c>
      <c r="G291" s="2">
        <f t="shared" ref="G291:I291" si="3967">_xlfn.RANK.EQ(F291, F$7:F$375,0)</f>
        <v>291</v>
      </c>
      <c r="H291" s="3">
        <v>6.9354166666666668</v>
      </c>
      <c r="I291" s="2">
        <f t="shared" si="3967"/>
        <v>312</v>
      </c>
      <c r="J291" s="5">
        <v>0.18680555555555556</v>
      </c>
      <c r="K291" s="2">
        <f t="shared" ref="K291:M291" si="3968">_xlfn.RANK.EQ(J291, J$7:J$375,0)</f>
        <v>329</v>
      </c>
      <c r="L291" s="2">
        <v>73</v>
      </c>
      <c r="M291" s="2">
        <f t="shared" si="3968"/>
        <v>285</v>
      </c>
      <c r="N291" s="2">
        <v>33</v>
      </c>
      <c r="O291" s="2">
        <f t="shared" ref="O291:Q291" si="3969">_xlfn.RANK.EQ(N291, N$7:N$375,0)</f>
        <v>274</v>
      </c>
      <c r="P291" s="2">
        <v>64</v>
      </c>
      <c r="Q291" s="2">
        <f t="shared" si="3969"/>
        <v>293</v>
      </c>
      <c r="R291" s="4">
        <v>0.51600000000000001</v>
      </c>
      <c r="S291" s="2">
        <f t="shared" ref="S291:U291" si="3970">_xlfn.RANK.EQ(R291, R$7:R$375,0)</f>
        <v>58</v>
      </c>
      <c r="T291" s="2">
        <v>32</v>
      </c>
      <c r="U291" s="2">
        <f t="shared" si="3970"/>
        <v>222</v>
      </c>
      <c r="V291" s="2">
        <v>61</v>
      </c>
      <c r="W291" s="2">
        <f t="shared" ref="W291:Y291" si="3971">_xlfn.RANK.EQ(V291, V$7:V$375,0)</f>
        <v>233</v>
      </c>
      <c r="X291" s="4">
        <v>0.52500000000000002</v>
      </c>
      <c r="Y291" s="2">
        <f t="shared" si="3971"/>
        <v>147</v>
      </c>
      <c r="Z291" s="2">
        <v>1</v>
      </c>
      <c r="AA291" s="2">
        <f t="shared" ref="AA291:AC291" si="3972">_xlfn.RANK.EQ(Z291, Z$7:Z$375,0)</f>
        <v>320</v>
      </c>
      <c r="AB291" s="2">
        <v>3</v>
      </c>
      <c r="AC291" s="2">
        <f t="shared" si="3972"/>
        <v>328</v>
      </c>
      <c r="AD291" s="4">
        <v>0.33300000000000002</v>
      </c>
      <c r="AE291" s="2">
        <f t="shared" ref="AE291:AG291" si="3973">_xlfn.RANK.EQ(AD291, AD$7:AD$375,0)</f>
        <v>149</v>
      </c>
      <c r="AF291" s="2">
        <v>6</v>
      </c>
      <c r="AG291" s="2">
        <f t="shared" si="3973"/>
        <v>292</v>
      </c>
      <c r="AH291" s="2">
        <v>10</v>
      </c>
      <c r="AI291" s="2">
        <f t="shared" ref="AI291:AK291" si="3974">_xlfn.RANK.EQ(AH291, AH$7:AH$375,0)</f>
        <v>293</v>
      </c>
      <c r="AJ291" s="4">
        <v>0.6</v>
      </c>
      <c r="AK291" s="2">
        <f t="shared" si="3974"/>
        <v>273</v>
      </c>
      <c r="AL291" s="2">
        <v>12</v>
      </c>
      <c r="AM291" s="2">
        <f t="shared" ref="AM291:AO291" si="3975">_xlfn.RANK.EQ(AL291, AL$7:AL$375,0)</f>
        <v>264</v>
      </c>
      <c r="AN291" s="2">
        <v>13</v>
      </c>
      <c r="AO291" s="2">
        <f t="shared" si="3975"/>
        <v>301</v>
      </c>
      <c r="AP291" s="2">
        <v>25</v>
      </c>
      <c r="AQ291" s="2">
        <f t="shared" ref="AQ291:AS291" si="3976">_xlfn.RANK.EQ(AP291, AP$7:AP$375,0)</f>
        <v>296</v>
      </c>
      <c r="AR291" s="2">
        <v>3</v>
      </c>
      <c r="AS291" s="2">
        <f t="shared" si="3976"/>
        <v>337</v>
      </c>
      <c r="AT291" s="2">
        <v>15</v>
      </c>
      <c r="AU291" s="2">
        <f t="shared" ref="AU291:AW291" si="3977">_xlfn.RANK.EQ(AT291, AT$7:AT$375,0)</f>
        <v>284</v>
      </c>
      <c r="AV291" s="2">
        <v>8</v>
      </c>
      <c r="AW291" s="2">
        <f t="shared" si="3977"/>
        <v>281</v>
      </c>
      <c r="AX291" s="2">
        <v>10</v>
      </c>
      <c r="AY291" s="2">
        <f t="shared" ref="AY291:BA291" si="3978">_xlfn.RANK.EQ(AX291, AX$7:AX$375,0)</f>
        <v>103</v>
      </c>
      <c r="AZ291" s="2">
        <v>5</v>
      </c>
      <c r="BA291" s="2">
        <f t="shared" si="3978"/>
        <v>227</v>
      </c>
      <c r="BB291" s="2">
        <v>36</v>
      </c>
      <c r="BC291" s="2">
        <f t="shared" ref="BC291:BE291" si="3979">_xlfn.RANK.EQ(BB291, BB$7:BB$375,0)</f>
        <v>291</v>
      </c>
      <c r="BD291" s="2">
        <v>11</v>
      </c>
      <c r="BE291" s="2">
        <f t="shared" si="3979"/>
        <v>297</v>
      </c>
      <c r="BF291" s="2">
        <v>39</v>
      </c>
      <c r="BG291" s="2">
        <f t="shared" ref="BG291:BI291" si="3980">_xlfn.RANK.EQ(BF291, BF$7:BF$375,0)</f>
        <v>286</v>
      </c>
      <c r="BH291" s="2">
        <v>-3</v>
      </c>
      <c r="BI291" s="2">
        <f t="shared" si="3980"/>
        <v>153</v>
      </c>
    </row>
    <row r="292" spans="1:61" x14ac:dyDescent="0.55000000000000004">
      <c r="A292" s="2">
        <v>286</v>
      </c>
      <c r="B292" s="2" t="s">
        <v>342</v>
      </c>
      <c r="C292" s="2" t="s">
        <v>89</v>
      </c>
      <c r="D292" s="2">
        <v>40</v>
      </c>
      <c r="E292" s="2">
        <f t="shared" si="3588"/>
        <v>246</v>
      </c>
      <c r="F292" s="2">
        <v>13</v>
      </c>
      <c r="G292" s="2">
        <f t="shared" ref="G292:I292" si="3981">_xlfn.RANK.EQ(F292, F$7:F$375,0)</f>
        <v>186</v>
      </c>
      <c r="H292" s="3">
        <v>16.221527777777776</v>
      </c>
      <c r="I292" s="2">
        <f t="shared" si="3981"/>
        <v>271</v>
      </c>
      <c r="J292" s="5">
        <v>0.40486111111111112</v>
      </c>
      <c r="K292" s="2">
        <f t="shared" ref="K292:M292" si="3982">_xlfn.RANK.EQ(J292, J$7:J$375,0)</f>
        <v>279</v>
      </c>
      <c r="L292" s="2">
        <v>72</v>
      </c>
      <c r="M292" s="2">
        <f t="shared" si="3982"/>
        <v>286</v>
      </c>
      <c r="N292" s="2">
        <v>25</v>
      </c>
      <c r="O292" s="2">
        <f t="shared" ref="O292:Q292" si="3983">_xlfn.RANK.EQ(N292, N$7:N$375,0)</f>
        <v>292</v>
      </c>
      <c r="P292" s="2">
        <v>73</v>
      </c>
      <c r="Q292" s="2">
        <f t="shared" si="3983"/>
        <v>284</v>
      </c>
      <c r="R292" s="4">
        <v>0.34200000000000003</v>
      </c>
      <c r="S292" s="2">
        <f t="shared" ref="S292:U292" si="3984">_xlfn.RANK.EQ(R292, R$7:R$375,0)</f>
        <v>290</v>
      </c>
      <c r="T292" s="2">
        <v>18</v>
      </c>
      <c r="U292" s="2">
        <f t="shared" si="3984"/>
        <v>266</v>
      </c>
      <c r="V292" s="2">
        <v>45</v>
      </c>
      <c r="W292" s="2">
        <f t="shared" ref="W292:Y292" si="3985">_xlfn.RANK.EQ(V292, V$7:V$375,0)</f>
        <v>253</v>
      </c>
      <c r="X292" s="4">
        <v>0.4</v>
      </c>
      <c r="Y292" s="2">
        <f t="shared" si="3985"/>
        <v>293</v>
      </c>
      <c r="Z292" s="2">
        <v>7</v>
      </c>
      <c r="AA292" s="2">
        <f t="shared" ref="AA292:AC292" si="3986">_xlfn.RANK.EQ(Z292, Z$7:Z$375,0)</f>
        <v>269</v>
      </c>
      <c r="AB292" s="2">
        <v>28</v>
      </c>
      <c r="AC292" s="2">
        <f t="shared" si="3986"/>
        <v>272</v>
      </c>
      <c r="AD292" s="4">
        <v>0.25</v>
      </c>
      <c r="AE292" s="2">
        <f t="shared" ref="AE292:AG292" si="3987">_xlfn.RANK.EQ(AD292, AD$7:AD$375,0)</f>
        <v>268</v>
      </c>
      <c r="AF292" s="2">
        <v>15</v>
      </c>
      <c r="AG292" s="2">
        <f t="shared" si="3987"/>
        <v>237</v>
      </c>
      <c r="AH292" s="2">
        <v>21</v>
      </c>
      <c r="AI292" s="2">
        <f t="shared" ref="AI292:AK292" si="3988">_xlfn.RANK.EQ(AH292, AH$7:AH$375,0)</f>
        <v>240</v>
      </c>
      <c r="AJ292" s="4">
        <v>0.71399999999999997</v>
      </c>
      <c r="AK292" s="2">
        <f t="shared" si="3988"/>
        <v>191</v>
      </c>
      <c r="AL292" s="2">
        <v>16</v>
      </c>
      <c r="AM292" s="2">
        <f t="shared" ref="AM292:AO292" si="3989">_xlfn.RANK.EQ(AL292, AL$7:AL$375,0)</f>
        <v>233</v>
      </c>
      <c r="AN292" s="2">
        <v>24</v>
      </c>
      <c r="AO292" s="2">
        <f t="shared" si="3989"/>
        <v>278</v>
      </c>
      <c r="AP292" s="2">
        <v>40</v>
      </c>
      <c r="AQ292" s="2">
        <f t="shared" ref="AQ292:AS292" si="3990">_xlfn.RANK.EQ(AP292, AP$7:AP$375,0)</f>
        <v>267</v>
      </c>
      <c r="AR292" s="2">
        <v>50</v>
      </c>
      <c r="AS292" s="2">
        <f t="shared" si="3990"/>
        <v>217</v>
      </c>
      <c r="AT292" s="2">
        <v>21</v>
      </c>
      <c r="AU292" s="2">
        <f t="shared" ref="AU292:AW292" si="3991">_xlfn.RANK.EQ(AT292, AT$7:AT$375,0)</f>
        <v>247</v>
      </c>
      <c r="AV292" s="2">
        <v>17</v>
      </c>
      <c r="AW292" s="2">
        <f t="shared" si="3991"/>
        <v>227</v>
      </c>
      <c r="AX292" s="2">
        <v>1</v>
      </c>
      <c r="AY292" s="2">
        <f t="shared" ref="AY292:BA292" si="3992">_xlfn.RANK.EQ(AX292, AX$7:AX$375,0)</f>
        <v>265</v>
      </c>
      <c r="AZ292" s="2">
        <v>5</v>
      </c>
      <c r="BA292" s="2">
        <f t="shared" si="3992"/>
        <v>227</v>
      </c>
      <c r="BB292" s="2">
        <v>76</v>
      </c>
      <c r="BC292" s="2">
        <f t="shared" ref="BC292:BE292" si="3993">_xlfn.RANK.EQ(BB292, BB$7:BB$375,0)</f>
        <v>202</v>
      </c>
      <c r="BD292" s="2">
        <v>23</v>
      </c>
      <c r="BE292" s="2">
        <f t="shared" si="3993"/>
        <v>258</v>
      </c>
      <c r="BF292" s="2">
        <v>47</v>
      </c>
      <c r="BG292" s="2">
        <f t="shared" ref="BG292:BI292" si="3994">_xlfn.RANK.EQ(BF292, BF$7:BF$375,0)</f>
        <v>279</v>
      </c>
      <c r="BH292" s="2">
        <v>10</v>
      </c>
      <c r="BI292" s="2">
        <f t="shared" si="3994"/>
        <v>132</v>
      </c>
    </row>
    <row r="293" spans="1:61" x14ac:dyDescent="0.55000000000000004">
      <c r="A293" s="2">
        <v>286</v>
      </c>
      <c r="B293" s="2" t="s">
        <v>343</v>
      </c>
      <c r="C293" s="2" t="s">
        <v>79</v>
      </c>
      <c r="D293" s="2">
        <v>12</v>
      </c>
      <c r="E293" s="2">
        <f t="shared" si="3588"/>
        <v>343</v>
      </c>
      <c r="F293" s="2">
        <v>1</v>
      </c>
      <c r="G293" s="2">
        <f t="shared" ref="G293:I293" si="3995">_xlfn.RANK.EQ(F293, F$7:F$375,0)</f>
        <v>272</v>
      </c>
      <c r="H293" s="3">
        <v>8.7729166666666671</v>
      </c>
      <c r="I293" s="2">
        <f t="shared" si="3995"/>
        <v>304</v>
      </c>
      <c r="J293" s="5">
        <v>0.73055555555555551</v>
      </c>
      <c r="K293" s="2">
        <f t="shared" ref="K293:M293" si="3996">_xlfn.RANK.EQ(J293, J$7:J$375,0)</f>
        <v>182</v>
      </c>
      <c r="L293" s="2">
        <v>72</v>
      </c>
      <c r="M293" s="2">
        <f t="shared" si="3996"/>
        <v>286</v>
      </c>
      <c r="N293" s="2">
        <v>25</v>
      </c>
      <c r="O293" s="2">
        <f t="shared" ref="O293:Q293" si="3997">_xlfn.RANK.EQ(N293, N$7:N$375,0)</f>
        <v>292</v>
      </c>
      <c r="P293" s="2">
        <v>63</v>
      </c>
      <c r="Q293" s="2">
        <f t="shared" si="3997"/>
        <v>296</v>
      </c>
      <c r="R293" s="4">
        <v>0.39700000000000002</v>
      </c>
      <c r="S293" s="2">
        <f t="shared" ref="S293:U293" si="3998">_xlfn.RANK.EQ(R293, R$7:R$375,0)</f>
        <v>208</v>
      </c>
      <c r="T293" s="2">
        <v>10</v>
      </c>
      <c r="U293" s="2">
        <f t="shared" si="3998"/>
        <v>294</v>
      </c>
      <c r="V293" s="2">
        <v>16</v>
      </c>
      <c r="W293" s="2">
        <f t="shared" ref="W293:Y293" si="3999">_xlfn.RANK.EQ(V293, V$7:V$375,0)</f>
        <v>309</v>
      </c>
      <c r="X293" s="4">
        <v>0.625</v>
      </c>
      <c r="Y293" s="2">
        <f t="shared" si="3999"/>
        <v>38</v>
      </c>
      <c r="Z293" s="2">
        <v>15</v>
      </c>
      <c r="AA293" s="2">
        <f t="shared" ref="AA293:AC293" si="4000">_xlfn.RANK.EQ(Z293, Z$7:Z$375,0)</f>
        <v>230</v>
      </c>
      <c r="AB293" s="2">
        <v>47</v>
      </c>
      <c r="AC293" s="2">
        <f t="shared" si="4000"/>
        <v>241</v>
      </c>
      <c r="AD293" s="4">
        <v>0.31900000000000001</v>
      </c>
      <c r="AE293" s="2">
        <f t="shared" ref="AE293:AG293" si="4001">_xlfn.RANK.EQ(AD293, AD$7:AD$375,0)</f>
        <v>183</v>
      </c>
      <c r="AF293" s="2">
        <v>7</v>
      </c>
      <c r="AG293" s="2">
        <f t="shared" si="4001"/>
        <v>286</v>
      </c>
      <c r="AH293" s="2">
        <v>11</v>
      </c>
      <c r="AI293" s="2">
        <f t="shared" ref="AI293:AK293" si="4002">_xlfn.RANK.EQ(AH293, AH$7:AH$375,0)</f>
        <v>287</v>
      </c>
      <c r="AJ293" s="4">
        <v>0.63600000000000001</v>
      </c>
      <c r="AK293" s="2">
        <f t="shared" si="4002"/>
        <v>251</v>
      </c>
      <c r="AL293" s="2">
        <v>2</v>
      </c>
      <c r="AM293" s="2">
        <f t="shared" ref="AM293:AO293" si="4003">_xlfn.RANK.EQ(AL293, AL$7:AL$375,0)</f>
        <v>332</v>
      </c>
      <c r="AN293" s="2">
        <v>12</v>
      </c>
      <c r="AO293" s="2">
        <f t="shared" si="4003"/>
        <v>305</v>
      </c>
      <c r="AP293" s="2">
        <v>14</v>
      </c>
      <c r="AQ293" s="2">
        <f t="shared" ref="AQ293:AS293" si="4004">_xlfn.RANK.EQ(AP293, AP$7:AP$375,0)</f>
        <v>311</v>
      </c>
      <c r="AR293" s="2">
        <v>9</v>
      </c>
      <c r="AS293" s="2">
        <f t="shared" si="4004"/>
        <v>315</v>
      </c>
      <c r="AT293" s="2">
        <v>10</v>
      </c>
      <c r="AU293" s="2">
        <f t="shared" ref="AU293:AW293" si="4005">_xlfn.RANK.EQ(AT293, AT$7:AT$375,0)</f>
        <v>305</v>
      </c>
      <c r="AV293" s="2">
        <v>7</v>
      </c>
      <c r="AW293" s="2">
        <f t="shared" si="4005"/>
        <v>287</v>
      </c>
      <c r="AX293" s="2">
        <v>1</v>
      </c>
      <c r="AY293" s="2">
        <f t="shared" ref="AY293:BA293" si="4006">_xlfn.RANK.EQ(AX293, AX$7:AX$375,0)</f>
        <v>265</v>
      </c>
      <c r="AZ293" s="2">
        <v>1</v>
      </c>
      <c r="BA293" s="2">
        <f t="shared" si="4006"/>
        <v>308</v>
      </c>
      <c r="BB293" s="2">
        <v>16</v>
      </c>
      <c r="BC293" s="2">
        <f t="shared" ref="BC293:BE293" si="4007">_xlfn.RANK.EQ(BB293, BB$7:BB$375,0)</f>
        <v>328</v>
      </c>
      <c r="BD293" s="2">
        <v>11</v>
      </c>
      <c r="BE293" s="2">
        <f t="shared" si="4007"/>
        <v>297</v>
      </c>
      <c r="BF293" s="2">
        <v>45</v>
      </c>
      <c r="BG293" s="2">
        <f t="shared" ref="BG293:BI293" si="4008">_xlfn.RANK.EQ(BF293, BF$7:BF$375,0)</f>
        <v>280</v>
      </c>
      <c r="BH293" s="2">
        <v>-25</v>
      </c>
      <c r="BI293" s="2">
        <f t="shared" si="4008"/>
        <v>200</v>
      </c>
    </row>
    <row r="294" spans="1:61" x14ac:dyDescent="0.55000000000000004">
      <c r="A294" s="2">
        <v>286</v>
      </c>
      <c r="B294" s="2" t="s">
        <v>344</v>
      </c>
      <c r="C294" s="2" t="s">
        <v>64</v>
      </c>
      <c r="D294" s="2">
        <v>16</v>
      </c>
      <c r="E294" s="2">
        <f t="shared" si="3588"/>
        <v>335</v>
      </c>
      <c r="F294" s="2">
        <v>3</v>
      </c>
      <c r="G294" s="2">
        <f t="shared" ref="G294:I294" si="4009">_xlfn.RANK.EQ(F294, F$7:F$375,0)</f>
        <v>248</v>
      </c>
      <c r="H294" s="3">
        <v>10.736111111111111</v>
      </c>
      <c r="I294" s="2">
        <f t="shared" si="4009"/>
        <v>296</v>
      </c>
      <c r="J294" s="5">
        <v>0.67083333333333328</v>
      </c>
      <c r="K294" s="2">
        <f t="shared" ref="K294:M294" si="4010">_xlfn.RANK.EQ(J294, J$7:J$375,0)</f>
        <v>202</v>
      </c>
      <c r="L294" s="2">
        <v>72</v>
      </c>
      <c r="M294" s="2">
        <f t="shared" si="4010"/>
        <v>286</v>
      </c>
      <c r="N294" s="2">
        <v>28</v>
      </c>
      <c r="O294" s="2">
        <f t="shared" ref="O294:Q294" si="4011">_xlfn.RANK.EQ(N294, N$7:N$375,0)</f>
        <v>282</v>
      </c>
      <c r="P294" s="2">
        <v>45</v>
      </c>
      <c r="Q294" s="2">
        <f t="shared" si="4011"/>
        <v>312</v>
      </c>
      <c r="R294" s="4">
        <v>0.622</v>
      </c>
      <c r="S294" s="2">
        <f t="shared" ref="S294:U294" si="4012">_xlfn.RANK.EQ(R294, R$7:R$375,0)</f>
        <v>8</v>
      </c>
      <c r="T294" s="2">
        <v>28</v>
      </c>
      <c r="U294" s="2">
        <f t="shared" si="4012"/>
        <v>236</v>
      </c>
      <c r="V294" s="2">
        <v>44</v>
      </c>
      <c r="W294" s="2">
        <f t="shared" ref="W294:Y294" si="4013">_xlfn.RANK.EQ(V294, V$7:V$375,0)</f>
        <v>255</v>
      </c>
      <c r="X294" s="4">
        <v>0.63600000000000001</v>
      </c>
      <c r="Y294" s="2">
        <f t="shared" si="4013"/>
        <v>29</v>
      </c>
      <c r="Z294" s="2">
        <v>0</v>
      </c>
      <c r="AA294" s="2">
        <f t="shared" ref="AA294:AC294" si="4014">_xlfn.RANK.EQ(Z294, Z$7:Z$375,0)</f>
        <v>329</v>
      </c>
      <c r="AB294" s="2">
        <v>1</v>
      </c>
      <c r="AC294" s="2">
        <f t="shared" si="4014"/>
        <v>342</v>
      </c>
      <c r="AD294" s="4">
        <v>0</v>
      </c>
      <c r="AE294" s="2">
        <f t="shared" ref="AE294:AG294" si="4015">_xlfn.RANK.EQ(AD294, AD$7:AD$375,0)</f>
        <v>329</v>
      </c>
      <c r="AF294" s="2">
        <v>16</v>
      </c>
      <c r="AG294" s="2">
        <f t="shared" si="4015"/>
        <v>233</v>
      </c>
      <c r="AH294" s="2">
        <v>19</v>
      </c>
      <c r="AI294" s="2">
        <f t="shared" ref="AI294:AK294" si="4016">_xlfn.RANK.EQ(AH294, AH$7:AH$375,0)</f>
        <v>247</v>
      </c>
      <c r="AJ294" s="4">
        <v>0.84199999999999997</v>
      </c>
      <c r="AK294" s="2">
        <f t="shared" si="4016"/>
        <v>41</v>
      </c>
      <c r="AL294" s="2">
        <v>21</v>
      </c>
      <c r="AM294" s="2">
        <f t="shared" ref="AM294:AO294" si="4017">_xlfn.RANK.EQ(AL294, AL$7:AL$375,0)</f>
        <v>193</v>
      </c>
      <c r="AN294" s="2">
        <v>33</v>
      </c>
      <c r="AO294" s="2">
        <f t="shared" si="4017"/>
        <v>246</v>
      </c>
      <c r="AP294" s="2">
        <v>54</v>
      </c>
      <c r="AQ294" s="2">
        <f t="shared" ref="AQ294:AS294" si="4018">_xlfn.RANK.EQ(AP294, AP$7:AP$375,0)</f>
        <v>237</v>
      </c>
      <c r="AR294" s="2">
        <v>19</v>
      </c>
      <c r="AS294" s="2">
        <f t="shared" si="4018"/>
        <v>280</v>
      </c>
      <c r="AT294" s="2">
        <v>12</v>
      </c>
      <c r="AU294" s="2">
        <f t="shared" ref="AU294:AW294" si="4019">_xlfn.RANK.EQ(AT294, AT$7:AT$375,0)</f>
        <v>295</v>
      </c>
      <c r="AV294" s="2">
        <v>5</v>
      </c>
      <c r="AW294" s="2">
        <f t="shared" si="4019"/>
        <v>303</v>
      </c>
      <c r="AX294" s="2">
        <v>6</v>
      </c>
      <c r="AY294" s="2">
        <f t="shared" ref="AY294:BA294" si="4020">_xlfn.RANK.EQ(AX294, AX$7:AX$375,0)</f>
        <v>156</v>
      </c>
      <c r="AZ294" s="2">
        <v>4</v>
      </c>
      <c r="BA294" s="2">
        <f t="shared" si="4020"/>
        <v>246</v>
      </c>
      <c r="BB294" s="2">
        <v>34</v>
      </c>
      <c r="BC294" s="2">
        <f t="shared" ref="BC294:BE294" si="4021">_xlfn.RANK.EQ(BB294, BB$7:BB$375,0)</f>
        <v>293</v>
      </c>
      <c r="BD294" s="2">
        <v>25</v>
      </c>
      <c r="BE294" s="2">
        <f t="shared" si="4021"/>
        <v>250</v>
      </c>
      <c r="BF294" s="2">
        <v>111</v>
      </c>
      <c r="BG294" s="2">
        <f t="shared" ref="BG294:BI294" si="4022">_xlfn.RANK.EQ(BF294, BF$7:BF$375,0)</f>
        <v>236</v>
      </c>
      <c r="BH294" s="2">
        <v>6</v>
      </c>
      <c r="BI294" s="2">
        <f t="shared" si="4022"/>
        <v>135</v>
      </c>
    </row>
    <row r="295" spans="1:61" x14ac:dyDescent="0.55000000000000004">
      <c r="A295" s="2">
        <v>286</v>
      </c>
      <c r="B295" s="2" t="s">
        <v>345</v>
      </c>
      <c r="C295" s="2" t="s">
        <v>86</v>
      </c>
      <c r="D295" s="2">
        <v>35</v>
      </c>
      <c r="E295" s="2">
        <f t="shared" si="3588"/>
        <v>270</v>
      </c>
      <c r="F295" s="2">
        <v>13</v>
      </c>
      <c r="G295" s="2">
        <f t="shared" ref="G295:I295" si="4023">_xlfn.RANK.EQ(F295, F$7:F$375,0)</f>
        <v>186</v>
      </c>
      <c r="H295" s="3">
        <v>19.285416666666666</v>
      </c>
      <c r="I295" s="2">
        <f t="shared" si="4023"/>
        <v>260</v>
      </c>
      <c r="J295" s="5">
        <v>0.55069444444444449</v>
      </c>
      <c r="K295" s="2">
        <f t="shared" ref="K295:M295" si="4024">_xlfn.RANK.EQ(J295, J$7:J$375,0)</f>
        <v>241</v>
      </c>
      <c r="L295" s="2">
        <v>72</v>
      </c>
      <c r="M295" s="2">
        <f t="shared" si="4024"/>
        <v>286</v>
      </c>
      <c r="N295" s="2">
        <v>30</v>
      </c>
      <c r="O295" s="2">
        <f t="shared" ref="O295:Q295" si="4025">_xlfn.RANK.EQ(N295, N$7:N$375,0)</f>
        <v>279</v>
      </c>
      <c r="P295" s="2">
        <v>91</v>
      </c>
      <c r="Q295" s="2">
        <f t="shared" si="4025"/>
        <v>271</v>
      </c>
      <c r="R295" s="4">
        <v>0.33</v>
      </c>
      <c r="S295" s="2">
        <f t="shared" ref="S295:U295" si="4026">_xlfn.RANK.EQ(R295, R$7:R$375,0)</f>
        <v>307</v>
      </c>
      <c r="T295" s="2">
        <v>24</v>
      </c>
      <c r="U295" s="2">
        <f t="shared" si="4026"/>
        <v>247</v>
      </c>
      <c r="V295" s="2">
        <v>62</v>
      </c>
      <c r="W295" s="2">
        <f t="shared" ref="W295:Y295" si="4027">_xlfn.RANK.EQ(V295, V$7:V$375,0)</f>
        <v>229</v>
      </c>
      <c r="X295" s="4">
        <v>0.38700000000000001</v>
      </c>
      <c r="Y295" s="2">
        <f t="shared" si="4027"/>
        <v>305</v>
      </c>
      <c r="Z295" s="2">
        <v>6</v>
      </c>
      <c r="AA295" s="2">
        <f t="shared" ref="AA295:AC295" si="4028">_xlfn.RANK.EQ(Z295, Z$7:Z$375,0)</f>
        <v>274</v>
      </c>
      <c r="AB295" s="2">
        <v>29</v>
      </c>
      <c r="AC295" s="2">
        <f t="shared" si="4028"/>
        <v>270</v>
      </c>
      <c r="AD295" s="4">
        <v>0.20699999999999999</v>
      </c>
      <c r="AE295" s="2">
        <f t="shared" ref="AE295:AG295" si="4029">_xlfn.RANK.EQ(AD295, AD$7:AD$375,0)</f>
        <v>298</v>
      </c>
      <c r="AF295" s="2">
        <v>6</v>
      </c>
      <c r="AG295" s="2">
        <f t="shared" si="4029"/>
        <v>292</v>
      </c>
      <c r="AH295" s="2">
        <v>15</v>
      </c>
      <c r="AI295" s="2">
        <f t="shared" ref="AI295:AK295" si="4030">_xlfn.RANK.EQ(AH295, AH$7:AH$375,0)</f>
        <v>267</v>
      </c>
      <c r="AJ295" s="4">
        <v>0.4</v>
      </c>
      <c r="AK295" s="2">
        <f t="shared" si="4030"/>
        <v>341</v>
      </c>
      <c r="AL295" s="2">
        <v>7</v>
      </c>
      <c r="AM295" s="2">
        <f t="shared" ref="AM295:AO295" si="4031">_xlfn.RANK.EQ(AL295, AL$7:AL$375,0)</f>
        <v>292</v>
      </c>
      <c r="AN295" s="2">
        <v>28</v>
      </c>
      <c r="AO295" s="2">
        <f t="shared" si="4031"/>
        <v>268</v>
      </c>
      <c r="AP295" s="2">
        <v>35</v>
      </c>
      <c r="AQ295" s="2">
        <f t="shared" ref="AQ295:AS295" si="4032">_xlfn.RANK.EQ(AP295, AP$7:AP$375,0)</f>
        <v>278</v>
      </c>
      <c r="AR295" s="2">
        <v>64</v>
      </c>
      <c r="AS295" s="2">
        <f t="shared" si="4032"/>
        <v>190</v>
      </c>
      <c r="AT295" s="2">
        <v>47</v>
      </c>
      <c r="AU295" s="2">
        <f t="shared" ref="AU295:AW295" si="4033">_xlfn.RANK.EQ(AT295, AT$7:AT$375,0)</f>
        <v>152</v>
      </c>
      <c r="AV295" s="2">
        <v>19</v>
      </c>
      <c r="AW295" s="2">
        <f t="shared" si="4033"/>
        <v>216</v>
      </c>
      <c r="AX295" s="2">
        <v>3</v>
      </c>
      <c r="AY295" s="2">
        <f t="shared" ref="AY295:BA295" si="4034">_xlfn.RANK.EQ(AX295, AX$7:AX$375,0)</f>
        <v>208</v>
      </c>
      <c r="AZ295" s="2">
        <v>13</v>
      </c>
      <c r="BA295" s="2">
        <f t="shared" si="4034"/>
        <v>114</v>
      </c>
      <c r="BB295" s="2">
        <v>80</v>
      </c>
      <c r="BC295" s="2">
        <f t="shared" ref="BC295:BE295" si="4035">_xlfn.RANK.EQ(BB295, BB$7:BB$375,0)</f>
        <v>193</v>
      </c>
      <c r="BD295" s="2">
        <v>30</v>
      </c>
      <c r="BE295" s="2">
        <f t="shared" si="4035"/>
        <v>230</v>
      </c>
      <c r="BF295" s="2">
        <v>13</v>
      </c>
      <c r="BG295" s="2">
        <f t="shared" ref="BG295:BI295" si="4036">_xlfn.RANK.EQ(BF295, BF$7:BF$375,0)</f>
        <v>318</v>
      </c>
      <c r="BH295" s="2">
        <v>-90</v>
      </c>
      <c r="BI295" s="2">
        <f t="shared" si="4036"/>
        <v>270</v>
      </c>
    </row>
    <row r="296" spans="1:61" x14ac:dyDescent="0.55000000000000004">
      <c r="A296" s="2">
        <v>286</v>
      </c>
      <c r="B296" s="2" t="s">
        <v>346</v>
      </c>
      <c r="C296" s="2" t="s">
        <v>57</v>
      </c>
      <c r="D296" s="2">
        <v>22</v>
      </c>
      <c r="E296" s="2">
        <f t="shared" si="3588"/>
        <v>313</v>
      </c>
      <c r="F296" s="2">
        <v>0</v>
      </c>
      <c r="G296" s="2">
        <f t="shared" ref="G296:I296" si="4037">_xlfn.RANK.EQ(F296, F$7:F$375,0)</f>
        <v>291</v>
      </c>
      <c r="H296" s="3">
        <v>9.2777777777777786</v>
      </c>
      <c r="I296" s="2">
        <f t="shared" si="4037"/>
        <v>301</v>
      </c>
      <c r="J296" s="5">
        <v>0.42152777777777778</v>
      </c>
      <c r="K296" s="2">
        <f t="shared" ref="K296:M296" si="4038">_xlfn.RANK.EQ(J296, J$7:J$375,0)</f>
        <v>274</v>
      </c>
      <c r="L296" s="2">
        <v>72</v>
      </c>
      <c r="M296" s="2">
        <f t="shared" si="4038"/>
        <v>286</v>
      </c>
      <c r="N296" s="2">
        <v>27</v>
      </c>
      <c r="O296" s="2">
        <f t="shared" ref="O296:Q296" si="4039">_xlfn.RANK.EQ(N296, N$7:N$375,0)</f>
        <v>286</v>
      </c>
      <c r="P296" s="2">
        <v>43</v>
      </c>
      <c r="Q296" s="2">
        <f t="shared" si="4039"/>
        <v>314</v>
      </c>
      <c r="R296" s="4">
        <v>0.628</v>
      </c>
      <c r="S296" s="2">
        <f t="shared" ref="S296:U296" si="4040">_xlfn.RANK.EQ(R296, R$7:R$375,0)</f>
        <v>7</v>
      </c>
      <c r="T296" s="2">
        <v>27</v>
      </c>
      <c r="U296" s="2">
        <f t="shared" si="4040"/>
        <v>237</v>
      </c>
      <c r="V296" s="2">
        <v>43</v>
      </c>
      <c r="W296" s="2">
        <f t="shared" ref="W296:Y296" si="4041">_xlfn.RANK.EQ(V296, V$7:V$375,0)</f>
        <v>261</v>
      </c>
      <c r="X296" s="4">
        <v>0.628</v>
      </c>
      <c r="Y296" s="2">
        <f t="shared" si="4041"/>
        <v>37</v>
      </c>
      <c r="Z296" s="2">
        <v>0</v>
      </c>
      <c r="AA296" s="2">
        <f t="shared" ref="AA296:AC296" si="4042">_xlfn.RANK.EQ(Z296, Z$7:Z$375,0)</f>
        <v>329</v>
      </c>
      <c r="AB296" s="2">
        <v>0</v>
      </c>
      <c r="AC296" s="2">
        <f t="shared" si="4042"/>
        <v>360</v>
      </c>
      <c r="AD296" s="4">
        <v>0</v>
      </c>
      <c r="AE296" s="2">
        <f t="shared" ref="AE296:AG296" si="4043">_xlfn.RANK.EQ(AD296, AD$7:AD$375,0)</f>
        <v>329</v>
      </c>
      <c r="AF296" s="2">
        <v>18</v>
      </c>
      <c r="AG296" s="2">
        <f t="shared" si="4043"/>
        <v>224</v>
      </c>
      <c r="AH296" s="2">
        <v>35</v>
      </c>
      <c r="AI296" s="2">
        <f t="shared" ref="AI296:AK296" si="4044">_xlfn.RANK.EQ(AH296, AH$7:AH$375,0)</f>
        <v>194</v>
      </c>
      <c r="AJ296" s="4">
        <v>0.51400000000000001</v>
      </c>
      <c r="AK296" s="2">
        <f t="shared" si="4044"/>
        <v>304</v>
      </c>
      <c r="AL296" s="2">
        <v>13</v>
      </c>
      <c r="AM296" s="2">
        <f t="shared" ref="AM296:AO296" si="4045">_xlfn.RANK.EQ(AL296, AL$7:AL$375,0)</f>
        <v>256</v>
      </c>
      <c r="AN296" s="2">
        <v>29</v>
      </c>
      <c r="AO296" s="2">
        <f t="shared" si="4045"/>
        <v>263</v>
      </c>
      <c r="AP296" s="2">
        <v>42</v>
      </c>
      <c r="AQ296" s="2">
        <f t="shared" ref="AQ296:AS296" si="4046">_xlfn.RANK.EQ(AP296, AP$7:AP$375,0)</f>
        <v>264</v>
      </c>
      <c r="AR296" s="2">
        <v>12</v>
      </c>
      <c r="AS296" s="2">
        <f t="shared" si="4046"/>
        <v>302</v>
      </c>
      <c r="AT296" s="2">
        <v>14</v>
      </c>
      <c r="AU296" s="2">
        <f t="shared" ref="AU296:AW296" si="4047">_xlfn.RANK.EQ(AT296, AT$7:AT$375,0)</f>
        <v>288</v>
      </c>
      <c r="AV296" s="2">
        <v>9</v>
      </c>
      <c r="AW296" s="2">
        <f t="shared" si="4047"/>
        <v>273</v>
      </c>
      <c r="AX296" s="2">
        <v>4</v>
      </c>
      <c r="AY296" s="2">
        <f t="shared" ref="AY296:BA296" si="4048">_xlfn.RANK.EQ(AX296, AX$7:AX$375,0)</f>
        <v>186</v>
      </c>
      <c r="AZ296" s="2">
        <v>2</v>
      </c>
      <c r="BA296" s="2">
        <f t="shared" si="4048"/>
        <v>285</v>
      </c>
      <c r="BB296" s="2">
        <v>28</v>
      </c>
      <c r="BC296" s="2">
        <f t="shared" ref="BC296:BE296" si="4049">_xlfn.RANK.EQ(BB296, BB$7:BB$375,0)</f>
        <v>304</v>
      </c>
      <c r="BD296" s="2">
        <v>27</v>
      </c>
      <c r="BE296" s="2">
        <f t="shared" si="4049"/>
        <v>243</v>
      </c>
      <c r="BF296" s="2">
        <v>89</v>
      </c>
      <c r="BG296" s="2">
        <f t="shared" ref="BG296:BI296" si="4050">_xlfn.RANK.EQ(BF296, BF$7:BF$375,0)</f>
        <v>246</v>
      </c>
      <c r="BH296" s="2">
        <v>-96</v>
      </c>
      <c r="BI296" s="2">
        <f t="shared" si="4050"/>
        <v>275</v>
      </c>
    </row>
    <row r="297" spans="1:61" x14ac:dyDescent="0.55000000000000004">
      <c r="A297" s="2">
        <v>291</v>
      </c>
      <c r="B297" s="2" t="s">
        <v>347</v>
      </c>
      <c r="C297" s="2" t="s">
        <v>36</v>
      </c>
      <c r="D297" s="2">
        <v>44</v>
      </c>
      <c r="E297" s="2">
        <f t="shared" si="3588"/>
        <v>224</v>
      </c>
      <c r="F297" s="2">
        <v>0</v>
      </c>
      <c r="G297" s="2">
        <f t="shared" ref="G297:I297" si="4051">_xlfn.RANK.EQ(F297, F$7:F$375,0)</f>
        <v>291</v>
      </c>
      <c r="H297" s="3">
        <v>11.606249999999999</v>
      </c>
      <c r="I297" s="2">
        <f t="shared" si="4051"/>
        <v>290</v>
      </c>
      <c r="J297" s="5">
        <v>0.26319444444444445</v>
      </c>
      <c r="K297" s="2">
        <f t="shared" ref="K297:M297" si="4052">_xlfn.RANK.EQ(J297, J$7:J$375,0)</f>
        <v>311</v>
      </c>
      <c r="L297" s="2">
        <v>69</v>
      </c>
      <c r="M297" s="2">
        <f t="shared" si="4052"/>
        <v>291</v>
      </c>
      <c r="N297" s="2">
        <v>27</v>
      </c>
      <c r="O297" s="2">
        <f t="shared" ref="O297:Q297" si="4053">_xlfn.RANK.EQ(N297, N$7:N$375,0)</f>
        <v>286</v>
      </c>
      <c r="P297" s="2">
        <v>64</v>
      </c>
      <c r="Q297" s="2">
        <f t="shared" si="4053"/>
        <v>293</v>
      </c>
      <c r="R297" s="4">
        <v>0.42199999999999999</v>
      </c>
      <c r="S297" s="2">
        <f t="shared" ref="S297:U297" si="4054">_xlfn.RANK.EQ(R297, R$7:R$375,0)</f>
        <v>160</v>
      </c>
      <c r="T297" s="2">
        <v>24</v>
      </c>
      <c r="U297" s="2">
        <f t="shared" si="4054"/>
        <v>247</v>
      </c>
      <c r="V297" s="2">
        <v>55</v>
      </c>
      <c r="W297" s="2">
        <f t="shared" ref="W297:Y297" si="4055">_xlfn.RANK.EQ(V297, V$7:V$375,0)</f>
        <v>241</v>
      </c>
      <c r="X297" s="4">
        <v>0.436</v>
      </c>
      <c r="Y297" s="2">
        <f t="shared" si="4055"/>
        <v>262</v>
      </c>
      <c r="Z297" s="2">
        <v>3</v>
      </c>
      <c r="AA297" s="2">
        <f t="shared" ref="AA297:AC297" si="4056">_xlfn.RANK.EQ(Z297, Z$7:Z$375,0)</f>
        <v>293</v>
      </c>
      <c r="AB297" s="2">
        <v>9</v>
      </c>
      <c r="AC297" s="2">
        <f t="shared" si="4056"/>
        <v>310</v>
      </c>
      <c r="AD297" s="4">
        <v>0.33300000000000002</v>
      </c>
      <c r="AE297" s="2">
        <f t="shared" ref="AE297:AG297" si="4057">_xlfn.RANK.EQ(AD297, AD$7:AD$375,0)</f>
        <v>149</v>
      </c>
      <c r="AF297" s="2">
        <v>12</v>
      </c>
      <c r="AG297" s="2">
        <f t="shared" si="4057"/>
        <v>261</v>
      </c>
      <c r="AH297" s="2">
        <v>18</v>
      </c>
      <c r="AI297" s="2">
        <f t="shared" ref="AI297:AK297" si="4058">_xlfn.RANK.EQ(AH297, AH$7:AH$375,0)</f>
        <v>253</v>
      </c>
      <c r="AJ297" s="4">
        <v>0.66700000000000004</v>
      </c>
      <c r="AK297" s="2">
        <f t="shared" si="4058"/>
        <v>227</v>
      </c>
      <c r="AL297" s="2">
        <v>13</v>
      </c>
      <c r="AM297" s="2">
        <f t="shared" ref="AM297:AO297" si="4059">_xlfn.RANK.EQ(AL297, AL$7:AL$375,0)</f>
        <v>256</v>
      </c>
      <c r="AN297" s="2">
        <v>21</v>
      </c>
      <c r="AO297" s="2">
        <f t="shared" si="4059"/>
        <v>283</v>
      </c>
      <c r="AP297" s="2">
        <v>34</v>
      </c>
      <c r="AQ297" s="2">
        <f t="shared" ref="AQ297:AS297" si="4060">_xlfn.RANK.EQ(AP297, AP$7:AP$375,0)</f>
        <v>279</v>
      </c>
      <c r="AR297" s="2">
        <v>13</v>
      </c>
      <c r="AS297" s="2">
        <f t="shared" si="4060"/>
        <v>298</v>
      </c>
      <c r="AT297" s="2">
        <v>17</v>
      </c>
      <c r="AU297" s="2">
        <f t="shared" ref="AU297:AW297" si="4061">_xlfn.RANK.EQ(AT297, AT$7:AT$375,0)</f>
        <v>273</v>
      </c>
      <c r="AV297" s="2">
        <v>5</v>
      </c>
      <c r="AW297" s="2">
        <f t="shared" si="4061"/>
        <v>303</v>
      </c>
      <c r="AX297" s="2">
        <v>5</v>
      </c>
      <c r="AY297" s="2">
        <f t="shared" ref="AY297:BA297" si="4062">_xlfn.RANK.EQ(AX297, AX$7:AX$375,0)</f>
        <v>169</v>
      </c>
      <c r="AZ297" s="2">
        <v>5</v>
      </c>
      <c r="BA297" s="2">
        <f t="shared" si="4062"/>
        <v>227</v>
      </c>
      <c r="BB297" s="2">
        <v>59</v>
      </c>
      <c r="BC297" s="2">
        <f t="shared" ref="BC297:BE297" si="4063">_xlfn.RANK.EQ(BB297, BB$7:BB$375,0)</f>
        <v>246</v>
      </c>
      <c r="BD297" s="2">
        <v>13</v>
      </c>
      <c r="BE297" s="2">
        <f t="shared" si="4063"/>
        <v>290</v>
      </c>
      <c r="BF297" s="2">
        <v>15</v>
      </c>
      <c r="BG297" s="2">
        <f t="shared" ref="BG297:BI297" si="4064">_xlfn.RANK.EQ(BF297, BF$7:BF$375,0)</f>
        <v>313</v>
      </c>
      <c r="BH297" s="2">
        <v>-31</v>
      </c>
      <c r="BI297" s="2">
        <f t="shared" si="4064"/>
        <v>205</v>
      </c>
    </row>
    <row r="298" spans="1:61" x14ac:dyDescent="0.55000000000000004">
      <c r="A298" s="2">
        <v>291</v>
      </c>
      <c r="B298" s="2" t="s">
        <v>348</v>
      </c>
      <c r="C298" s="2" t="s">
        <v>57</v>
      </c>
      <c r="D298" s="2">
        <v>35</v>
      </c>
      <c r="E298" s="2">
        <f t="shared" si="3588"/>
        <v>270</v>
      </c>
      <c r="F298" s="2">
        <v>22</v>
      </c>
      <c r="G298" s="2">
        <f t="shared" ref="G298:I298" si="4065">_xlfn.RANK.EQ(F298, F$7:F$375,0)</f>
        <v>145</v>
      </c>
      <c r="H298" s="3">
        <v>23.192361111111111</v>
      </c>
      <c r="I298" s="2">
        <f t="shared" si="4065"/>
        <v>235</v>
      </c>
      <c r="J298" s="5">
        <v>0.66249999999999998</v>
      </c>
      <c r="K298" s="2">
        <f t="shared" ref="K298:M298" si="4066">_xlfn.RANK.EQ(J298, J$7:J$375,0)</f>
        <v>206</v>
      </c>
      <c r="L298" s="2">
        <v>69</v>
      </c>
      <c r="M298" s="2">
        <f t="shared" si="4066"/>
        <v>291</v>
      </c>
      <c r="N298" s="2">
        <v>31</v>
      </c>
      <c r="O298" s="2">
        <f t="shared" ref="O298:Q298" si="4067">_xlfn.RANK.EQ(N298, N$7:N$375,0)</f>
        <v>277</v>
      </c>
      <c r="P298" s="2">
        <v>81</v>
      </c>
      <c r="Q298" s="2">
        <f t="shared" si="4067"/>
        <v>276</v>
      </c>
      <c r="R298" s="4">
        <v>0.38300000000000001</v>
      </c>
      <c r="S298" s="2">
        <f t="shared" ref="S298:U298" si="4068">_xlfn.RANK.EQ(R298, R$7:R$375,0)</f>
        <v>232</v>
      </c>
      <c r="T298" s="2">
        <v>29</v>
      </c>
      <c r="U298" s="2">
        <f t="shared" si="4068"/>
        <v>233</v>
      </c>
      <c r="V298" s="2">
        <v>51</v>
      </c>
      <c r="W298" s="2">
        <f t="shared" ref="W298:Y298" si="4069">_xlfn.RANK.EQ(V298, V$7:V$375,0)</f>
        <v>247</v>
      </c>
      <c r="X298" s="4">
        <v>0.56899999999999995</v>
      </c>
      <c r="Y298" s="2">
        <f t="shared" si="4069"/>
        <v>82</v>
      </c>
      <c r="Z298" s="2">
        <v>2</v>
      </c>
      <c r="AA298" s="2">
        <f t="shared" ref="AA298:AC298" si="4070">_xlfn.RANK.EQ(Z298, Z$7:Z$375,0)</f>
        <v>304</v>
      </c>
      <c r="AB298" s="2">
        <v>30</v>
      </c>
      <c r="AC298" s="2">
        <f t="shared" si="4070"/>
        <v>266</v>
      </c>
      <c r="AD298" s="4">
        <v>6.7000000000000004E-2</v>
      </c>
      <c r="AE298" s="2">
        <f t="shared" ref="AE298:AG298" si="4071">_xlfn.RANK.EQ(AD298, AD$7:AD$375,0)</f>
        <v>328</v>
      </c>
      <c r="AF298" s="2">
        <v>5</v>
      </c>
      <c r="AG298" s="2">
        <f t="shared" si="4071"/>
        <v>297</v>
      </c>
      <c r="AH298" s="2">
        <v>8</v>
      </c>
      <c r="AI298" s="2">
        <f t="shared" ref="AI298:AK298" si="4072">_xlfn.RANK.EQ(AH298, AH$7:AH$375,0)</f>
        <v>300</v>
      </c>
      <c r="AJ298" s="4">
        <v>0.625</v>
      </c>
      <c r="AK298" s="2">
        <f t="shared" si="4072"/>
        <v>258</v>
      </c>
      <c r="AL298" s="2">
        <v>17</v>
      </c>
      <c r="AM298" s="2">
        <f t="shared" ref="AM298:AO298" si="4073">_xlfn.RANK.EQ(AL298, AL$7:AL$375,0)</f>
        <v>226</v>
      </c>
      <c r="AN298" s="2">
        <v>36</v>
      </c>
      <c r="AO298" s="2">
        <f t="shared" si="4073"/>
        <v>236</v>
      </c>
      <c r="AP298" s="2">
        <v>53</v>
      </c>
      <c r="AQ298" s="2">
        <f t="shared" ref="AQ298:AS298" si="4074">_xlfn.RANK.EQ(AP298, AP$7:AP$375,0)</f>
        <v>239</v>
      </c>
      <c r="AR298" s="2">
        <v>25</v>
      </c>
      <c r="AS298" s="2">
        <f t="shared" si="4074"/>
        <v>257</v>
      </c>
      <c r="AT298" s="2">
        <v>20</v>
      </c>
      <c r="AU298" s="2">
        <f t="shared" ref="AU298:AW298" si="4075">_xlfn.RANK.EQ(AT298, AT$7:AT$375,0)</f>
        <v>253</v>
      </c>
      <c r="AV298" s="2">
        <v>15</v>
      </c>
      <c r="AW298" s="2">
        <f t="shared" si="4075"/>
        <v>238</v>
      </c>
      <c r="AX298" s="2">
        <v>3</v>
      </c>
      <c r="AY298" s="2">
        <f t="shared" ref="AY298:BA298" si="4076">_xlfn.RANK.EQ(AX298, AX$7:AX$375,0)</f>
        <v>208</v>
      </c>
      <c r="AZ298" s="2">
        <v>3</v>
      </c>
      <c r="BA298" s="2">
        <f t="shared" si="4076"/>
        <v>267</v>
      </c>
      <c r="BB298" s="2">
        <v>93</v>
      </c>
      <c r="BC298" s="2">
        <f t="shared" ref="BC298:BE298" si="4077">_xlfn.RANK.EQ(BB298, BB$7:BB$375,0)</f>
        <v>158</v>
      </c>
      <c r="BD298" s="2">
        <v>17</v>
      </c>
      <c r="BE298" s="2">
        <f t="shared" si="4077"/>
        <v>275</v>
      </c>
      <c r="BF298" s="2">
        <v>12</v>
      </c>
      <c r="BG298" s="2">
        <f t="shared" ref="BG298:BI298" si="4078">_xlfn.RANK.EQ(BF298, BF$7:BF$375,0)</f>
        <v>320</v>
      </c>
      <c r="BH298" s="2">
        <v>-14</v>
      </c>
      <c r="BI298" s="2">
        <f t="shared" si="4078"/>
        <v>179</v>
      </c>
    </row>
    <row r="299" spans="1:61" x14ac:dyDescent="0.55000000000000004">
      <c r="A299" s="2">
        <v>293</v>
      </c>
      <c r="B299" s="2" t="s">
        <v>349</v>
      </c>
      <c r="C299" s="2" t="s">
        <v>86</v>
      </c>
      <c r="D299" s="2">
        <v>43</v>
      </c>
      <c r="E299" s="2">
        <f t="shared" si="3588"/>
        <v>234</v>
      </c>
      <c r="F299" s="2">
        <v>1</v>
      </c>
      <c r="G299" s="2">
        <f t="shared" ref="G299:I299" si="4079">_xlfn.RANK.EQ(F299, F$7:F$375,0)</f>
        <v>272</v>
      </c>
      <c r="H299" s="3">
        <v>11.15625</v>
      </c>
      <c r="I299" s="2">
        <f t="shared" si="4079"/>
        <v>295</v>
      </c>
      <c r="J299" s="5">
        <v>0.2590277777777778</v>
      </c>
      <c r="K299" s="2">
        <f t="shared" ref="K299:M299" si="4080">_xlfn.RANK.EQ(J299, J$7:J$375,0)</f>
        <v>316</v>
      </c>
      <c r="L299" s="2">
        <v>68</v>
      </c>
      <c r="M299" s="2">
        <f t="shared" si="4080"/>
        <v>293</v>
      </c>
      <c r="N299" s="2">
        <v>26</v>
      </c>
      <c r="O299" s="2">
        <f t="shared" ref="O299:Q299" si="4081">_xlfn.RANK.EQ(N299, N$7:N$375,0)</f>
        <v>289</v>
      </c>
      <c r="P299" s="2">
        <v>63</v>
      </c>
      <c r="Q299" s="2">
        <f t="shared" si="4081"/>
        <v>296</v>
      </c>
      <c r="R299" s="4">
        <v>0.41299999999999998</v>
      </c>
      <c r="S299" s="2">
        <f t="shared" ref="S299:U299" si="4082">_xlfn.RANK.EQ(R299, R$7:R$375,0)</f>
        <v>177</v>
      </c>
      <c r="T299" s="2">
        <v>22</v>
      </c>
      <c r="U299" s="2">
        <f t="shared" si="4082"/>
        <v>251</v>
      </c>
      <c r="V299" s="2">
        <v>45</v>
      </c>
      <c r="W299" s="2">
        <f t="shared" ref="W299:Y299" si="4083">_xlfn.RANK.EQ(V299, V$7:V$375,0)</f>
        <v>253</v>
      </c>
      <c r="X299" s="4">
        <v>0.48899999999999999</v>
      </c>
      <c r="Y299" s="2">
        <f t="shared" si="4083"/>
        <v>198</v>
      </c>
      <c r="Z299" s="2">
        <v>4</v>
      </c>
      <c r="AA299" s="2">
        <f t="shared" ref="AA299:AC299" si="4084">_xlfn.RANK.EQ(Z299, Z$7:Z$375,0)</f>
        <v>284</v>
      </c>
      <c r="AB299" s="2">
        <v>18</v>
      </c>
      <c r="AC299" s="2">
        <f t="shared" si="4084"/>
        <v>289</v>
      </c>
      <c r="AD299" s="4">
        <v>0.222</v>
      </c>
      <c r="AE299" s="2">
        <f t="shared" ref="AE299:AG299" si="4085">_xlfn.RANK.EQ(AD299, AD$7:AD$375,0)</f>
        <v>287</v>
      </c>
      <c r="AF299" s="2">
        <v>12</v>
      </c>
      <c r="AG299" s="2">
        <f t="shared" si="4085"/>
        <v>261</v>
      </c>
      <c r="AH299" s="2">
        <v>17</v>
      </c>
      <c r="AI299" s="2">
        <f t="shared" ref="AI299:AK299" si="4086">_xlfn.RANK.EQ(AH299, AH$7:AH$375,0)</f>
        <v>260</v>
      </c>
      <c r="AJ299" s="4">
        <v>0.70599999999999996</v>
      </c>
      <c r="AK299" s="2">
        <f t="shared" si="4086"/>
        <v>200</v>
      </c>
      <c r="AL299" s="2">
        <v>10</v>
      </c>
      <c r="AM299" s="2">
        <f t="shared" ref="AM299:AO299" si="4087">_xlfn.RANK.EQ(AL299, AL$7:AL$375,0)</f>
        <v>276</v>
      </c>
      <c r="AN299" s="2">
        <v>29</v>
      </c>
      <c r="AO299" s="2">
        <f t="shared" si="4087"/>
        <v>263</v>
      </c>
      <c r="AP299" s="2">
        <v>39</v>
      </c>
      <c r="AQ299" s="2">
        <f t="shared" ref="AQ299:AS299" si="4088">_xlfn.RANK.EQ(AP299, AP$7:AP$375,0)</f>
        <v>270</v>
      </c>
      <c r="AR299" s="2">
        <v>24</v>
      </c>
      <c r="AS299" s="2">
        <f t="shared" si="4088"/>
        <v>262</v>
      </c>
      <c r="AT299" s="2">
        <v>18</v>
      </c>
      <c r="AU299" s="2">
        <f t="shared" ref="AU299:AW299" si="4089">_xlfn.RANK.EQ(AT299, AT$7:AT$375,0)</f>
        <v>262</v>
      </c>
      <c r="AV299" s="2">
        <v>9</v>
      </c>
      <c r="AW299" s="2">
        <f t="shared" si="4089"/>
        <v>273</v>
      </c>
      <c r="AX299" s="2">
        <v>2</v>
      </c>
      <c r="AY299" s="2">
        <f t="shared" ref="AY299:BA299" si="4090">_xlfn.RANK.EQ(AX299, AX$7:AX$375,0)</f>
        <v>234</v>
      </c>
      <c r="AZ299" s="2">
        <v>7</v>
      </c>
      <c r="BA299" s="2">
        <f t="shared" si="4090"/>
        <v>195</v>
      </c>
      <c r="BB299" s="2">
        <v>45</v>
      </c>
      <c r="BC299" s="2">
        <f t="shared" ref="BC299:BE299" si="4091">_xlfn.RANK.EQ(BB299, BB$7:BB$375,0)</f>
        <v>276</v>
      </c>
      <c r="BD299" s="2">
        <v>21</v>
      </c>
      <c r="BE299" s="2">
        <f t="shared" si="4091"/>
        <v>262</v>
      </c>
      <c r="BF299" s="2">
        <v>51</v>
      </c>
      <c r="BG299" s="2">
        <f t="shared" ref="BG299:BI299" si="4092">_xlfn.RANK.EQ(BF299, BF$7:BF$375,0)</f>
        <v>274</v>
      </c>
      <c r="BH299" s="2">
        <v>-103</v>
      </c>
      <c r="BI299" s="2">
        <f t="shared" si="4092"/>
        <v>283</v>
      </c>
    </row>
    <row r="300" spans="1:61" x14ac:dyDescent="0.55000000000000004">
      <c r="A300" s="2">
        <v>294</v>
      </c>
      <c r="B300" s="2" t="s">
        <v>350</v>
      </c>
      <c r="C300" s="2" t="s">
        <v>44</v>
      </c>
      <c r="D300" s="2">
        <v>54</v>
      </c>
      <c r="E300" s="2">
        <f t="shared" si="3588"/>
        <v>155</v>
      </c>
      <c r="F300" s="2">
        <v>6</v>
      </c>
      <c r="G300" s="2">
        <f t="shared" ref="G300:I300" si="4093">_xlfn.RANK.EQ(F300, F$7:F$375,0)</f>
        <v>228</v>
      </c>
      <c r="H300" s="3">
        <v>20.399999999999999</v>
      </c>
      <c r="I300" s="2">
        <f t="shared" si="4093"/>
        <v>253</v>
      </c>
      <c r="J300" s="5">
        <v>0.37777777777777777</v>
      </c>
      <c r="K300" s="2">
        <f t="shared" ref="K300:M300" si="4094">_xlfn.RANK.EQ(J300, J$7:J$375,0)</f>
        <v>286</v>
      </c>
      <c r="L300" s="2">
        <v>67</v>
      </c>
      <c r="M300" s="2">
        <f t="shared" si="4094"/>
        <v>294</v>
      </c>
      <c r="N300" s="2">
        <v>26</v>
      </c>
      <c r="O300" s="2">
        <f t="shared" ref="O300:Q300" si="4095">_xlfn.RANK.EQ(N300, N$7:N$375,0)</f>
        <v>289</v>
      </c>
      <c r="P300" s="2">
        <v>87</v>
      </c>
      <c r="Q300" s="2">
        <f t="shared" si="4095"/>
        <v>274</v>
      </c>
      <c r="R300" s="4">
        <v>0.29899999999999999</v>
      </c>
      <c r="S300" s="2">
        <f t="shared" ref="S300:U300" si="4096">_xlfn.RANK.EQ(R300, R$7:R$375,0)</f>
        <v>332</v>
      </c>
      <c r="T300" s="2">
        <v>14</v>
      </c>
      <c r="U300" s="2">
        <f t="shared" si="4096"/>
        <v>278</v>
      </c>
      <c r="V300" s="2">
        <v>31</v>
      </c>
      <c r="W300" s="2">
        <f t="shared" ref="W300:Y300" si="4097">_xlfn.RANK.EQ(V300, V$7:V$375,0)</f>
        <v>280</v>
      </c>
      <c r="X300" s="4">
        <v>0.45200000000000001</v>
      </c>
      <c r="Y300" s="2">
        <f t="shared" si="4097"/>
        <v>239</v>
      </c>
      <c r="Z300" s="2">
        <v>12</v>
      </c>
      <c r="AA300" s="2">
        <f t="shared" ref="AA300:AC300" si="4098">_xlfn.RANK.EQ(Z300, Z$7:Z$375,0)</f>
        <v>246</v>
      </c>
      <c r="AB300" s="2">
        <v>56</v>
      </c>
      <c r="AC300" s="2">
        <f t="shared" si="4098"/>
        <v>226</v>
      </c>
      <c r="AD300" s="4">
        <v>0.214</v>
      </c>
      <c r="AE300" s="2">
        <f t="shared" ref="AE300:AG300" si="4099">_xlfn.RANK.EQ(AD300, AD$7:AD$375,0)</f>
        <v>291</v>
      </c>
      <c r="AF300" s="2">
        <v>3</v>
      </c>
      <c r="AG300" s="2">
        <f t="shared" si="4099"/>
        <v>314</v>
      </c>
      <c r="AH300" s="2">
        <v>6</v>
      </c>
      <c r="AI300" s="2">
        <f t="shared" ref="AI300:AK300" si="4100">_xlfn.RANK.EQ(AH300, AH$7:AH$375,0)</f>
        <v>307</v>
      </c>
      <c r="AJ300" s="4">
        <v>0.5</v>
      </c>
      <c r="AK300" s="2">
        <f t="shared" si="4100"/>
        <v>306</v>
      </c>
      <c r="AL300" s="2">
        <v>10</v>
      </c>
      <c r="AM300" s="2">
        <f t="shared" ref="AM300:AO300" si="4101">_xlfn.RANK.EQ(AL300, AL$7:AL$375,0)</f>
        <v>276</v>
      </c>
      <c r="AN300" s="2">
        <v>33</v>
      </c>
      <c r="AO300" s="2">
        <f t="shared" si="4101"/>
        <v>246</v>
      </c>
      <c r="AP300" s="2">
        <v>43</v>
      </c>
      <c r="AQ300" s="2">
        <f t="shared" ref="AQ300:AS300" si="4102">_xlfn.RANK.EQ(AP300, AP$7:AP$375,0)</f>
        <v>263</v>
      </c>
      <c r="AR300" s="2">
        <v>64</v>
      </c>
      <c r="AS300" s="2">
        <f t="shared" si="4102"/>
        <v>190</v>
      </c>
      <c r="AT300" s="2">
        <v>30</v>
      </c>
      <c r="AU300" s="2">
        <f t="shared" ref="AU300:AW300" si="4103">_xlfn.RANK.EQ(AT300, AT$7:AT$375,0)</f>
        <v>210</v>
      </c>
      <c r="AV300" s="2">
        <v>22</v>
      </c>
      <c r="AW300" s="2">
        <f t="shared" si="4103"/>
        <v>197</v>
      </c>
      <c r="AX300" s="2">
        <v>1</v>
      </c>
      <c r="AY300" s="2">
        <f t="shared" ref="AY300:BA300" si="4104">_xlfn.RANK.EQ(AX300, AX$7:AX$375,0)</f>
        <v>265</v>
      </c>
      <c r="AZ300" s="2">
        <v>4</v>
      </c>
      <c r="BA300" s="2">
        <f t="shared" si="4104"/>
        <v>246</v>
      </c>
      <c r="BB300" s="2">
        <v>66</v>
      </c>
      <c r="BC300" s="2">
        <f t="shared" ref="BC300:BE300" si="4105">_xlfn.RANK.EQ(BB300, BB$7:BB$375,0)</f>
        <v>225</v>
      </c>
      <c r="BD300" s="2">
        <v>16</v>
      </c>
      <c r="BE300" s="2">
        <f t="shared" si="4105"/>
        <v>280</v>
      </c>
      <c r="BF300" s="2">
        <v>49</v>
      </c>
      <c r="BG300" s="2">
        <f t="shared" ref="BG300:BI300" si="4106">_xlfn.RANK.EQ(BF300, BF$7:BF$375,0)</f>
        <v>276</v>
      </c>
      <c r="BH300" s="2">
        <v>-142</v>
      </c>
      <c r="BI300" s="2">
        <f t="shared" si="4106"/>
        <v>316</v>
      </c>
    </row>
    <row r="301" spans="1:61" x14ac:dyDescent="0.55000000000000004">
      <c r="A301" s="2">
        <v>294</v>
      </c>
      <c r="B301" s="2" t="s">
        <v>351</v>
      </c>
      <c r="C301" s="2" t="s">
        <v>44</v>
      </c>
      <c r="D301" s="2">
        <v>21</v>
      </c>
      <c r="E301" s="2">
        <f t="shared" si="3588"/>
        <v>314</v>
      </c>
      <c r="F301" s="2">
        <v>7</v>
      </c>
      <c r="G301" s="2">
        <f t="shared" ref="G301:I301" si="4107">_xlfn.RANK.EQ(F301, F$7:F$375,0)</f>
        <v>218</v>
      </c>
      <c r="H301" s="3">
        <v>13.109722222222222</v>
      </c>
      <c r="I301" s="2">
        <f t="shared" si="4107"/>
        <v>284</v>
      </c>
      <c r="J301" s="5">
        <v>0.62361111111111112</v>
      </c>
      <c r="K301" s="2">
        <f t="shared" ref="K301:M301" si="4108">_xlfn.RANK.EQ(J301, J$7:J$375,0)</f>
        <v>219</v>
      </c>
      <c r="L301" s="2">
        <v>67</v>
      </c>
      <c r="M301" s="2">
        <f t="shared" si="4108"/>
        <v>294</v>
      </c>
      <c r="N301" s="2">
        <v>24</v>
      </c>
      <c r="O301" s="2">
        <f t="shared" ref="O301:Q301" si="4109">_xlfn.RANK.EQ(N301, N$7:N$375,0)</f>
        <v>294</v>
      </c>
      <c r="P301" s="2">
        <v>92</v>
      </c>
      <c r="Q301" s="2">
        <f t="shared" si="4109"/>
        <v>269</v>
      </c>
      <c r="R301" s="4">
        <v>0.26100000000000001</v>
      </c>
      <c r="S301" s="2">
        <f t="shared" ref="S301:U301" si="4110">_xlfn.RANK.EQ(R301, R$7:R$375,0)</f>
        <v>344</v>
      </c>
      <c r="T301" s="2">
        <v>15</v>
      </c>
      <c r="U301" s="2">
        <f t="shared" si="4110"/>
        <v>275</v>
      </c>
      <c r="V301" s="2">
        <v>40</v>
      </c>
      <c r="W301" s="2">
        <f t="shared" ref="W301:Y301" si="4111">_xlfn.RANK.EQ(V301, V$7:V$375,0)</f>
        <v>266</v>
      </c>
      <c r="X301" s="4">
        <v>0.375</v>
      </c>
      <c r="Y301" s="2">
        <f t="shared" si="4111"/>
        <v>311</v>
      </c>
      <c r="Z301" s="2">
        <v>9</v>
      </c>
      <c r="AA301" s="2">
        <f t="shared" ref="AA301:AC301" si="4112">_xlfn.RANK.EQ(Z301, Z$7:Z$375,0)</f>
        <v>262</v>
      </c>
      <c r="AB301" s="2">
        <v>52</v>
      </c>
      <c r="AC301" s="2">
        <f t="shared" si="4112"/>
        <v>234</v>
      </c>
      <c r="AD301" s="4">
        <v>0.17299999999999999</v>
      </c>
      <c r="AE301" s="2">
        <f t="shared" ref="AE301:AG301" si="4113">_xlfn.RANK.EQ(AD301, AD$7:AD$375,0)</f>
        <v>316</v>
      </c>
      <c r="AF301" s="2">
        <v>10</v>
      </c>
      <c r="AG301" s="2">
        <f t="shared" si="4113"/>
        <v>271</v>
      </c>
      <c r="AH301" s="2">
        <v>18</v>
      </c>
      <c r="AI301" s="2">
        <f t="shared" ref="AI301:AK301" si="4114">_xlfn.RANK.EQ(AH301, AH$7:AH$375,0)</f>
        <v>253</v>
      </c>
      <c r="AJ301" s="4">
        <v>0.55600000000000005</v>
      </c>
      <c r="AK301" s="2">
        <f t="shared" si="4114"/>
        <v>294</v>
      </c>
      <c r="AL301" s="2">
        <v>3</v>
      </c>
      <c r="AM301" s="2">
        <f t="shared" ref="AM301:AO301" si="4115">_xlfn.RANK.EQ(AL301, AL$7:AL$375,0)</f>
        <v>319</v>
      </c>
      <c r="AN301" s="2">
        <v>26</v>
      </c>
      <c r="AO301" s="2">
        <f t="shared" si="4115"/>
        <v>274</v>
      </c>
      <c r="AP301" s="2">
        <v>29</v>
      </c>
      <c r="AQ301" s="2">
        <f t="shared" ref="AQ301:AS301" si="4116">_xlfn.RANK.EQ(AP301, AP$7:AP$375,0)</f>
        <v>289</v>
      </c>
      <c r="AR301" s="2">
        <v>30</v>
      </c>
      <c r="AS301" s="2">
        <f t="shared" si="4116"/>
        <v>249</v>
      </c>
      <c r="AT301" s="2">
        <v>23</v>
      </c>
      <c r="AU301" s="2">
        <f t="shared" ref="AU301:AW301" si="4117">_xlfn.RANK.EQ(AT301, AT$7:AT$375,0)</f>
        <v>241</v>
      </c>
      <c r="AV301" s="2">
        <v>9</v>
      </c>
      <c r="AW301" s="2">
        <f t="shared" si="4117"/>
        <v>273</v>
      </c>
      <c r="AX301" s="2">
        <v>2</v>
      </c>
      <c r="AY301" s="2">
        <f t="shared" ref="AY301:BA301" si="4118">_xlfn.RANK.EQ(AX301, AX$7:AX$375,0)</f>
        <v>234</v>
      </c>
      <c r="AZ301" s="2">
        <v>7</v>
      </c>
      <c r="BA301" s="2">
        <f t="shared" si="4118"/>
        <v>195</v>
      </c>
      <c r="BB301" s="2">
        <v>35</v>
      </c>
      <c r="BC301" s="2">
        <f t="shared" ref="BC301:BE301" si="4119">_xlfn.RANK.EQ(BB301, BB$7:BB$375,0)</f>
        <v>292</v>
      </c>
      <c r="BD301" s="2">
        <v>25</v>
      </c>
      <c r="BE301" s="2">
        <f t="shared" si="4119"/>
        <v>250</v>
      </c>
      <c r="BF301" s="2">
        <v>21</v>
      </c>
      <c r="BG301" s="2">
        <f t="shared" ref="BG301:BI301" si="4120">_xlfn.RANK.EQ(BF301, BF$7:BF$375,0)</f>
        <v>302</v>
      </c>
      <c r="BH301" s="2">
        <v>-107</v>
      </c>
      <c r="BI301" s="2">
        <f t="shared" si="4120"/>
        <v>286</v>
      </c>
    </row>
    <row r="302" spans="1:61" x14ac:dyDescent="0.55000000000000004">
      <c r="A302" s="2">
        <v>296</v>
      </c>
      <c r="B302" s="2" t="s">
        <v>352</v>
      </c>
      <c r="C302" s="2" t="s">
        <v>48</v>
      </c>
      <c r="D302" s="2">
        <v>11</v>
      </c>
      <c r="E302" s="2">
        <f t="shared" si="3588"/>
        <v>345</v>
      </c>
      <c r="F302" s="2">
        <v>0</v>
      </c>
      <c r="G302" s="2">
        <f t="shared" ref="G302:I302" si="4121">_xlfn.RANK.EQ(F302, F$7:F$375,0)</f>
        <v>291</v>
      </c>
      <c r="H302" s="3">
        <v>8.4979166666666668</v>
      </c>
      <c r="I302" s="2">
        <f t="shared" si="4121"/>
        <v>305</v>
      </c>
      <c r="J302" s="5">
        <v>0.77222222222222225</v>
      </c>
      <c r="K302" s="2">
        <f t="shared" ref="K302:M302" si="4122">_xlfn.RANK.EQ(J302, J$7:J$375,0)</f>
        <v>172</v>
      </c>
      <c r="L302" s="2">
        <v>66</v>
      </c>
      <c r="M302" s="2">
        <f t="shared" si="4122"/>
        <v>296</v>
      </c>
      <c r="N302" s="2">
        <v>24</v>
      </c>
      <c r="O302" s="2">
        <f t="shared" ref="O302:Q302" si="4123">_xlfn.RANK.EQ(N302, N$7:N$375,0)</f>
        <v>294</v>
      </c>
      <c r="P302" s="2">
        <v>77</v>
      </c>
      <c r="Q302" s="2">
        <f t="shared" si="4123"/>
        <v>281</v>
      </c>
      <c r="R302" s="4">
        <v>0.312</v>
      </c>
      <c r="S302" s="2">
        <f t="shared" ref="S302:U302" si="4124">_xlfn.RANK.EQ(R302, R$7:R$375,0)</f>
        <v>322</v>
      </c>
      <c r="T302" s="2">
        <v>9</v>
      </c>
      <c r="U302" s="2">
        <f t="shared" si="4124"/>
        <v>298</v>
      </c>
      <c r="V302" s="2">
        <v>27</v>
      </c>
      <c r="W302" s="2">
        <f t="shared" ref="W302:Y302" si="4125">_xlfn.RANK.EQ(V302, V$7:V$375,0)</f>
        <v>287</v>
      </c>
      <c r="X302" s="4">
        <v>0.33300000000000002</v>
      </c>
      <c r="Y302" s="2">
        <f t="shared" si="4125"/>
        <v>333</v>
      </c>
      <c r="Z302" s="2">
        <v>15</v>
      </c>
      <c r="AA302" s="2">
        <f t="shared" ref="AA302:AC302" si="4126">_xlfn.RANK.EQ(Z302, Z$7:Z$375,0)</f>
        <v>230</v>
      </c>
      <c r="AB302" s="2">
        <v>50</v>
      </c>
      <c r="AC302" s="2">
        <f t="shared" si="4126"/>
        <v>237</v>
      </c>
      <c r="AD302" s="4">
        <v>0.3</v>
      </c>
      <c r="AE302" s="2">
        <f t="shared" ref="AE302:AG302" si="4127">_xlfn.RANK.EQ(AD302, AD$7:AD$375,0)</f>
        <v>211</v>
      </c>
      <c r="AF302" s="2">
        <v>3</v>
      </c>
      <c r="AG302" s="2">
        <f t="shared" si="4127"/>
        <v>314</v>
      </c>
      <c r="AH302" s="2">
        <v>4</v>
      </c>
      <c r="AI302" s="2">
        <f t="shared" ref="AI302:AK302" si="4128">_xlfn.RANK.EQ(AH302, AH$7:AH$375,0)</f>
        <v>321</v>
      </c>
      <c r="AJ302" s="4">
        <v>0.75</v>
      </c>
      <c r="AK302" s="2">
        <f t="shared" si="4128"/>
        <v>148</v>
      </c>
      <c r="AL302" s="2">
        <v>6</v>
      </c>
      <c r="AM302" s="2">
        <f t="shared" ref="AM302:AO302" si="4129">_xlfn.RANK.EQ(AL302, AL$7:AL$375,0)</f>
        <v>296</v>
      </c>
      <c r="AN302" s="2">
        <v>21</v>
      </c>
      <c r="AO302" s="2">
        <f t="shared" si="4129"/>
        <v>283</v>
      </c>
      <c r="AP302" s="2">
        <v>27</v>
      </c>
      <c r="AQ302" s="2">
        <f t="shared" ref="AQ302:AS302" si="4130">_xlfn.RANK.EQ(AP302, AP$7:AP$375,0)</f>
        <v>291</v>
      </c>
      <c r="AR302" s="2">
        <v>21</v>
      </c>
      <c r="AS302" s="2">
        <f t="shared" si="4130"/>
        <v>275</v>
      </c>
      <c r="AT302" s="2">
        <v>13</v>
      </c>
      <c r="AU302" s="2">
        <f t="shared" ref="AU302:AW302" si="4131">_xlfn.RANK.EQ(AT302, AT$7:AT$375,0)</f>
        <v>291</v>
      </c>
      <c r="AV302" s="2">
        <v>6</v>
      </c>
      <c r="AW302" s="2">
        <f t="shared" si="4131"/>
        <v>293</v>
      </c>
      <c r="AX302" s="2">
        <v>0</v>
      </c>
      <c r="AY302" s="2">
        <f t="shared" ref="AY302:BA302" si="4132">_xlfn.RANK.EQ(AX302, AX$7:AX$375,0)</f>
        <v>298</v>
      </c>
      <c r="AZ302" s="2">
        <v>2</v>
      </c>
      <c r="BA302" s="2">
        <f t="shared" si="4132"/>
        <v>285</v>
      </c>
      <c r="BB302" s="2">
        <v>21</v>
      </c>
      <c r="BC302" s="2">
        <f t="shared" ref="BC302:BE302" si="4133">_xlfn.RANK.EQ(BB302, BB$7:BB$375,0)</f>
        <v>317</v>
      </c>
      <c r="BD302" s="2">
        <v>12</v>
      </c>
      <c r="BE302" s="2">
        <f t="shared" si="4133"/>
        <v>293</v>
      </c>
      <c r="BF302" s="2">
        <v>42</v>
      </c>
      <c r="BG302" s="2">
        <f t="shared" ref="BG302:BI302" si="4134">_xlfn.RANK.EQ(BF302, BF$7:BF$375,0)</f>
        <v>283</v>
      </c>
      <c r="BH302" s="2">
        <v>-17</v>
      </c>
      <c r="BI302" s="2">
        <f t="shared" si="4134"/>
        <v>185</v>
      </c>
    </row>
    <row r="303" spans="1:61" x14ac:dyDescent="0.55000000000000004">
      <c r="A303" s="2">
        <v>297</v>
      </c>
      <c r="B303" s="2" t="s">
        <v>353</v>
      </c>
      <c r="C303" s="2" t="s">
        <v>34</v>
      </c>
      <c r="D303" s="2">
        <v>35</v>
      </c>
      <c r="E303" s="2">
        <f t="shared" si="3588"/>
        <v>270</v>
      </c>
      <c r="F303" s="2">
        <v>0</v>
      </c>
      <c r="G303" s="2">
        <f t="shared" ref="G303:I303" si="4135">_xlfn.RANK.EQ(F303, F$7:F$375,0)</f>
        <v>291</v>
      </c>
      <c r="H303" s="3">
        <v>7.2527777777777782</v>
      </c>
      <c r="I303" s="2">
        <f t="shared" si="4135"/>
        <v>311</v>
      </c>
      <c r="J303" s="5">
        <v>0.20694444444444443</v>
      </c>
      <c r="K303" s="2">
        <f t="shared" ref="K303:M303" si="4136">_xlfn.RANK.EQ(J303, J$7:J$375,0)</f>
        <v>324</v>
      </c>
      <c r="L303" s="2">
        <v>65</v>
      </c>
      <c r="M303" s="2">
        <f t="shared" si="4136"/>
        <v>297</v>
      </c>
      <c r="N303" s="2">
        <v>21</v>
      </c>
      <c r="O303" s="2">
        <f t="shared" ref="O303:Q303" si="4137">_xlfn.RANK.EQ(N303, N$7:N$375,0)</f>
        <v>300</v>
      </c>
      <c r="P303" s="2">
        <v>46</v>
      </c>
      <c r="Q303" s="2">
        <f t="shared" si="4137"/>
        <v>309</v>
      </c>
      <c r="R303" s="4">
        <v>0.45700000000000002</v>
      </c>
      <c r="S303" s="2">
        <f t="shared" ref="S303:U303" si="4138">_xlfn.RANK.EQ(R303, R$7:R$375,0)</f>
        <v>108</v>
      </c>
      <c r="T303" s="2">
        <v>8</v>
      </c>
      <c r="U303" s="2">
        <f t="shared" si="4138"/>
        <v>301</v>
      </c>
      <c r="V303" s="2">
        <v>16</v>
      </c>
      <c r="W303" s="2">
        <f t="shared" ref="W303:Y303" si="4139">_xlfn.RANK.EQ(V303, V$7:V$375,0)</f>
        <v>309</v>
      </c>
      <c r="X303" s="4">
        <v>0.5</v>
      </c>
      <c r="Y303" s="2">
        <f t="shared" si="4139"/>
        <v>175</v>
      </c>
      <c r="Z303" s="2">
        <v>13</v>
      </c>
      <c r="AA303" s="2">
        <f t="shared" ref="AA303:AC303" si="4140">_xlfn.RANK.EQ(Z303, Z$7:Z$375,0)</f>
        <v>238</v>
      </c>
      <c r="AB303" s="2">
        <v>30</v>
      </c>
      <c r="AC303" s="2">
        <f t="shared" si="4140"/>
        <v>266</v>
      </c>
      <c r="AD303" s="4">
        <v>0.433</v>
      </c>
      <c r="AE303" s="2">
        <f t="shared" ref="AE303:AG303" si="4141">_xlfn.RANK.EQ(AD303, AD$7:AD$375,0)</f>
        <v>24</v>
      </c>
      <c r="AF303" s="2">
        <v>10</v>
      </c>
      <c r="AG303" s="2">
        <f t="shared" si="4141"/>
        <v>271</v>
      </c>
      <c r="AH303" s="2">
        <v>15</v>
      </c>
      <c r="AI303" s="2">
        <f t="shared" ref="AI303:AK303" si="4142">_xlfn.RANK.EQ(AH303, AH$7:AH$375,0)</f>
        <v>267</v>
      </c>
      <c r="AJ303" s="4">
        <v>0.66700000000000004</v>
      </c>
      <c r="AK303" s="2">
        <f t="shared" si="4142"/>
        <v>227</v>
      </c>
      <c r="AL303" s="2">
        <v>4</v>
      </c>
      <c r="AM303" s="2">
        <f t="shared" ref="AM303:AO303" si="4143">_xlfn.RANK.EQ(AL303, AL$7:AL$375,0)</f>
        <v>305</v>
      </c>
      <c r="AN303" s="2">
        <v>8</v>
      </c>
      <c r="AO303" s="2">
        <f t="shared" si="4143"/>
        <v>318</v>
      </c>
      <c r="AP303" s="2">
        <v>12</v>
      </c>
      <c r="AQ303" s="2">
        <f t="shared" ref="AQ303:AS303" si="4144">_xlfn.RANK.EQ(AP303, AP$7:AP$375,0)</f>
        <v>320</v>
      </c>
      <c r="AR303" s="2">
        <v>35</v>
      </c>
      <c r="AS303" s="2">
        <f t="shared" si="4144"/>
        <v>242</v>
      </c>
      <c r="AT303" s="2">
        <v>16</v>
      </c>
      <c r="AU303" s="2">
        <f t="shared" ref="AU303:AW303" si="4145">_xlfn.RANK.EQ(AT303, AT$7:AT$375,0)</f>
        <v>278</v>
      </c>
      <c r="AV303" s="2">
        <v>7</v>
      </c>
      <c r="AW303" s="2">
        <f t="shared" si="4145"/>
        <v>287</v>
      </c>
      <c r="AX303" s="2">
        <v>1</v>
      </c>
      <c r="AY303" s="2">
        <f t="shared" ref="AY303:BA303" si="4146">_xlfn.RANK.EQ(AX303, AX$7:AX$375,0)</f>
        <v>265</v>
      </c>
      <c r="AZ303" s="2">
        <v>0</v>
      </c>
      <c r="BA303" s="2">
        <f t="shared" si="4146"/>
        <v>337</v>
      </c>
      <c r="BB303" s="2">
        <v>40</v>
      </c>
      <c r="BC303" s="2">
        <f t="shared" ref="BC303:BE303" si="4147">_xlfn.RANK.EQ(BB303, BB$7:BB$375,0)</f>
        <v>286</v>
      </c>
      <c r="BD303" s="2">
        <v>15</v>
      </c>
      <c r="BE303" s="2">
        <f t="shared" si="4147"/>
        <v>282</v>
      </c>
      <c r="BF303" s="2">
        <v>49</v>
      </c>
      <c r="BG303" s="2">
        <f t="shared" ref="BG303:BI303" si="4148">_xlfn.RANK.EQ(BF303, BF$7:BF$375,0)</f>
        <v>276</v>
      </c>
      <c r="BH303" s="2">
        <v>-40</v>
      </c>
      <c r="BI303" s="2">
        <f t="shared" si="4148"/>
        <v>222</v>
      </c>
    </row>
    <row r="304" spans="1:61" x14ac:dyDescent="0.55000000000000004">
      <c r="A304" s="2">
        <v>297</v>
      </c>
      <c r="B304" s="2" t="s">
        <v>354</v>
      </c>
      <c r="C304" s="2" t="s">
        <v>72</v>
      </c>
      <c r="D304" s="2">
        <v>48</v>
      </c>
      <c r="E304" s="2">
        <f t="shared" si="3588"/>
        <v>201</v>
      </c>
      <c r="F304" s="2">
        <v>2</v>
      </c>
      <c r="G304" s="2">
        <f t="shared" ref="G304:I304" si="4149">_xlfn.RANK.EQ(F304, F$7:F$375,0)</f>
        <v>256</v>
      </c>
      <c r="H304" s="3">
        <v>9.6888888888888882</v>
      </c>
      <c r="I304" s="2">
        <f t="shared" si="4149"/>
        <v>299</v>
      </c>
      <c r="J304" s="5">
        <v>0.2013888888888889</v>
      </c>
      <c r="K304" s="2">
        <f t="shared" ref="K304:M304" si="4150">_xlfn.RANK.EQ(J304, J$7:J$375,0)</f>
        <v>326</v>
      </c>
      <c r="L304" s="2">
        <v>65</v>
      </c>
      <c r="M304" s="2">
        <f t="shared" si="4150"/>
        <v>297</v>
      </c>
      <c r="N304" s="2">
        <v>20</v>
      </c>
      <c r="O304" s="2">
        <f t="shared" ref="O304:Q304" si="4151">_xlfn.RANK.EQ(N304, N$7:N$375,0)</f>
        <v>302</v>
      </c>
      <c r="P304" s="2">
        <v>73</v>
      </c>
      <c r="Q304" s="2">
        <f t="shared" si="4151"/>
        <v>284</v>
      </c>
      <c r="R304" s="4">
        <v>0.27400000000000002</v>
      </c>
      <c r="S304" s="2">
        <f t="shared" ref="S304:U304" si="4152">_xlfn.RANK.EQ(R304, R$7:R$375,0)</f>
        <v>343</v>
      </c>
      <c r="T304" s="2">
        <v>8</v>
      </c>
      <c r="U304" s="2">
        <f t="shared" si="4152"/>
        <v>301</v>
      </c>
      <c r="V304" s="2">
        <v>23</v>
      </c>
      <c r="W304" s="2">
        <f t="shared" ref="W304:Y304" si="4153">_xlfn.RANK.EQ(V304, V$7:V$375,0)</f>
        <v>294</v>
      </c>
      <c r="X304" s="4">
        <v>0.34799999999999998</v>
      </c>
      <c r="Y304" s="2">
        <f t="shared" si="4153"/>
        <v>328</v>
      </c>
      <c r="Z304" s="2">
        <v>12</v>
      </c>
      <c r="AA304" s="2">
        <f t="shared" ref="AA304:AC304" si="4154">_xlfn.RANK.EQ(Z304, Z$7:Z$375,0)</f>
        <v>246</v>
      </c>
      <c r="AB304" s="2">
        <v>50</v>
      </c>
      <c r="AC304" s="2">
        <f t="shared" si="4154"/>
        <v>237</v>
      </c>
      <c r="AD304" s="4">
        <v>0.24</v>
      </c>
      <c r="AE304" s="2">
        <f t="shared" ref="AE304:AG304" si="4155">_xlfn.RANK.EQ(AD304, AD$7:AD$375,0)</f>
        <v>275</v>
      </c>
      <c r="AF304" s="2">
        <v>13</v>
      </c>
      <c r="AG304" s="2">
        <f t="shared" si="4155"/>
        <v>248</v>
      </c>
      <c r="AH304" s="2">
        <v>16</v>
      </c>
      <c r="AI304" s="2">
        <f t="shared" ref="AI304:AK304" si="4156">_xlfn.RANK.EQ(AH304, AH$7:AH$375,0)</f>
        <v>265</v>
      </c>
      <c r="AJ304" s="4">
        <v>0.81299999999999994</v>
      </c>
      <c r="AK304" s="2">
        <f t="shared" si="4156"/>
        <v>67</v>
      </c>
      <c r="AL304" s="2">
        <v>16</v>
      </c>
      <c r="AM304" s="2">
        <f t="shared" ref="AM304:AO304" si="4157">_xlfn.RANK.EQ(AL304, AL$7:AL$375,0)</f>
        <v>233</v>
      </c>
      <c r="AN304" s="2">
        <v>18</v>
      </c>
      <c r="AO304" s="2">
        <f t="shared" si="4157"/>
        <v>293</v>
      </c>
      <c r="AP304" s="2">
        <v>34</v>
      </c>
      <c r="AQ304" s="2">
        <f t="shared" ref="AQ304:AS304" si="4158">_xlfn.RANK.EQ(AP304, AP$7:AP$375,0)</f>
        <v>279</v>
      </c>
      <c r="AR304" s="2">
        <v>12</v>
      </c>
      <c r="AS304" s="2">
        <f t="shared" si="4158"/>
        <v>302</v>
      </c>
      <c r="AT304" s="2">
        <v>17</v>
      </c>
      <c r="AU304" s="2">
        <f t="shared" ref="AU304:AW304" si="4159">_xlfn.RANK.EQ(AT304, AT$7:AT$375,0)</f>
        <v>273</v>
      </c>
      <c r="AV304" s="2">
        <v>14</v>
      </c>
      <c r="AW304" s="2">
        <f t="shared" si="4159"/>
        <v>246</v>
      </c>
      <c r="AX304" s="2">
        <v>3</v>
      </c>
      <c r="AY304" s="2">
        <f t="shared" ref="AY304:BA304" si="4160">_xlfn.RANK.EQ(AX304, AX$7:AX$375,0)</f>
        <v>208</v>
      </c>
      <c r="AZ304" s="2">
        <v>4</v>
      </c>
      <c r="BA304" s="2">
        <f t="shared" si="4160"/>
        <v>246</v>
      </c>
      <c r="BB304" s="2">
        <v>48</v>
      </c>
      <c r="BC304" s="2">
        <f t="shared" ref="BC304:BE304" si="4161">_xlfn.RANK.EQ(BB304, BB$7:BB$375,0)</f>
        <v>268</v>
      </c>
      <c r="BD304" s="2">
        <v>17</v>
      </c>
      <c r="BE304" s="2">
        <f t="shared" si="4161"/>
        <v>275</v>
      </c>
      <c r="BF304" s="2">
        <v>20</v>
      </c>
      <c r="BG304" s="2">
        <f t="shared" ref="BG304:BI304" si="4162">_xlfn.RANK.EQ(BF304, BF$7:BF$375,0)</f>
        <v>304</v>
      </c>
      <c r="BH304" s="2">
        <v>-10</v>
      </c>
      <c r="BI304" s="2">
        <f t="shared" si="4162"/>
        <v>170</v>
      </c>
    </row>
    <row r="305" spans="1:61" x14ac:dyDescent="0.55000000000000004">
      <c r="A305" s="2">
        <v>299</v>
      </c>
      <c r="B305" s="2" t="s">
        <v>355</v>
      </c>
      <c r="C305" s="2" t="s">
        <v>84</v>
      </c>
      <c r="D305" s="2">
        <v>36</v>
      </c>
      <c r="E305" s="2">
        <f t="shared" si="3588"/>
        <v>263</v>
      </c>
      <c r="F305" s="2">
        <v>0</v>
      </c>
      <c r="G305" s="2">
        <f t="shared" ref="G305:I305" si="4163">_xlfn.RANK.EQ(F305, F$7:F$375,0)</f>
        <v>291</v>
      </c>
      <c r="H305" s="3">
        <v>11.206250000000001</v>
      </c>
      <c r="I305" s="2">
        <f t="shared" si="4163"/>
        <v>293</v>
      </c>
      <c r="J305" s="5">
        <v>0.31111111111111112</v>
      </c>
      <c r="K305" s="2">
        <f t="shared" ref="K305:M305" si="4164">_xlfn.RANK.EQ(J305, J$7:J$375,0)</f>
        <v>303</v>
      </c>
      <c r="L305" s="2">
        <v>64</v>
      </c>
      <c r="M305" s="2">
        <f t="shared" si="4164"/>
        <v>299</v>
      </c>
      <c r="N305" s="2">
        <v>19</v>
      </c>
      <c r="O305" s="2">
        <f t="shared" ref="O305:Q305" si="4165">_xlfn.RANK.EQ(N305, N$7:N$375,0)</f>
        <v>307</v>
      </c>
      <c r="P305" s="2">
        <v>58</v>
      </c>
      <c r="Q305" s="2">
        <f t="shared" si="4165"/>
        <v>299</v>
      </c>
      <c r="R305" s="4">
        <v>0.32800000000000001</v>
      </c>
      <c r="S305" s="2">
        <f t="shared" ref="S305:U305" si="4166">_xlfn.RANK.EQ(R305, R$7:R$375,0)</f>
        <v>308</v>
      </c>
      <c r="T305" s="2">
        <v>6</v>
      </c>
      <c r="U305" s="2">
        <f t="shared" si="4166"/>
        <v>314</v>
      </c>
      <c r="V305" s="2">
        <v>27</v>
      </c>
      <c r="W305" s="2">
        <f t="shared" ref="W305:Y305" si="4167">_xlfn.RANK.EQ(V305, V$7:V$375,0)</f>
        <v>287</v>
      </c>
      <c r="X305" s="4">
        <v>0.222</v>
      </c>
      <c r="Y305" s="2">
        <f t="shared" si="4167"/>
        <v>354</v>
      </c>
      <c r="Z305" s="2">
        <v>13</v>
      </c>
      <c r="AA305" s="2">
        <f t="shared" ref="AA305:AC305" si="4168">_xlfn.RANK.EQ(Z305, Z$7:Z$375,0)</f>
        <v>238</v>
      </c>
      <c r="AB305" s="2">
        <v>31</v>
      </c>
      <c r="AC305" s="2">
        <f t="shared" si="4168"/>
        <v>263</v>
      </c>
      <c r="AD305" s="4">
        <v>0.41899999999999998</v>
      </c>
      <c r="AE305" s="2">
        <f t="shared" ref="AE305:AG305" si="4169">_xlfn.RANK.EQ(AD305, AD$7:AD$375,0)</f>
        <v>29</v>
      </c>
      <c r="AF305" s="2">
        <v>13</v>
      </c>
      <c r="AG305" s="2">
        <f t="shared" si="4169"/>
        <v>248</v>
      </c>
      <c r="AH305" s="2">
        <v>19</v>
      </c>
      <c r="AI305" s="2">
        <f t="shared" ref="AI305:AK305" si="4170">_xlfn.RANK.EQ(AH305, AH$7:AH$375,0)</f>
        <v>247</v>
      </c>
      <c r="AJ305" s="4">
        <v>0.68400000000000005</v>
      </c>
      <c r="AK305" s="2">
        <f t="shared" si="4170"/>
        <v>213</v>
      </c>
      <c r="AL305" s="2">
        <v>2</v>
      </c>
      <c r="AM305" s="2">
        <f t="shared" ref="AM305:AO305" si="4171">_xlfn.RANK.EQ(AL305, AL$7:AL$375,0)</f>
        <v>332</v>
      </c>
      <c r="AN305" s="2">
        <v>13</v>
      </c>
      <c r="AO305" s="2">
        <f t="shared" si="4171"/>
        <v>301</v>
      </c>
      <c r="AP305" s="2">
        <v>15</v>
      </c>
      <c r="AQ305" s="2">
        <f t="shared" ref="AQ305:AS305" si="4172">_xlfn.RANK.EQ(AP305, AP$7:AP$375,0)</f>
        <v>308</v>
      </c>
      <c r="AR305" s="2">
        <v>29</v>
      </c>
      <c r="AS305" s="2">
        <f t="shared" si="4172"/>
        <v>252</v>
      </c>
      <c r="AT305" s="2">
        <v>18</v>
      </c>
      <c r="AU305" s="2">
        <f t="shared" ref="AU305:AW305" si="4173">_xlfn.RANK.EQ(AT305, AT$7:AT$375,0)</f>
        <v>262</v>
      </c>
      <c r="AV305" s="2">
        <v>10</v>
      </c>
      <c r="AW305" s="2">
        <f t="shared" si="4173"/>
        <v>270</v>
      </c>
      <c r="AX305" s="2">
        <v>0</v>
      </c>
      <c r="AY305" s="2">
        <f t="shared" ref="AY305:BA305" si="4174">_xlfn.RANK.EQ(AX305, AX$7:AX$375,0)</f>
        <v>298</v>
      </c>
      <c r="AZ305" s="2">
        <v>5</v>
      </c>
      <c r="BA305" s="2">
        <f t="shared" si="4174"/>
        <v>227</v>
      </c>
      <c r="BB305" s="2">
        <v>63</v>
      </c>
      <c r="BC305" s="2">
        <f t="shared" ref="BC305:BE305" si="4175">_xlfn.RANK.EQ(BB305, BB$7:BB$375,0)</f>
        <v>235</v>
      </c>
      <c r="BD305" s="2">
        <v>30</v>
      </c>
      <c r="BE305" s="2">
        <f t="shared" si="4175"/>
        <v>230</v>
      </c>
      <c r="BF305" s="2">
        <v>17</v>
      </c>
      <c r="BG305" s="2">
        <f t="shared" ref="BG305:BI305" si="4176">_xlfn.RANK.EQ(BF305, BF$7:BF$375,0)</f>
        <v>308</v>
      </c>
      <c r="BH305" s="2">
        <v>-61</v>
      </c>
      <c r="BI305" s="2">
        <f t="shared" si="4176"/>
        <v>249</v>
      </c>
    </row>
    <row r="306" spans="1:61" x14ac:dyDescent="0.55000000000000004">
      <c r="A306" s="2">
        <v>300</v>
      </c>
      <c r="B306" s="2" t="s">
        <v>356</v>
      </c>
      <c r="C306" s="2" t="s">
        <v>62</v>
      </c>
      <c r="D306" s="2">
        <v>39</v>
      </c>
      <c r="E306" s="2">
        <f t="shared" si="3588"/>
        <v>248</v>
      </c>
      <c r="F306" s="2">
        <v>0</v>
      </c>
      <c r="G306" s="2">
        <f t="shared" ref="G306:I306" si="4177">_xlfn.RANK.EQ(F306, F$7:F$375,0)</f>
        <v>291</v>
      </c>
      <c r="H306" s="3">
        <v>13.586805555555555</v>
      </c>
      <c r="I306" s="2">
        <f t="shared" si="4177"/>
        <v>281</v>
      </c>
      <c r="J306" s="5">
        <v>0.34791666666666665</v>
      </c>
      <c r="K306" s="2">
        <f t="shared" ref="K306:M306" si="4178">_xlfn.RANK.EQ(J306, J$7:J$375,0)</f>
        <v>296</v>
      </c>
      <c r="L306" s="2">
        <v>62</v>
      </c>
      <c r="M306" s="2">
        <f t="shared" si="4178"/>
        <v>300</v>
      </c>
      <c r="N306" s="2">
        <v>20</v>
      </c>
      <c r="O306" s="2">
        <f t="shared" ref="O306:Q306" si="4179">_xlfn.RANK.EQ(N306, N$7:N$375,0)</f>
        <v>302</v>
      </c>
      <c r="P306" s="2">
        <v>64</v>
      </c>
      <c r="Q306" s="2">
        <f t="shared" si="4179"/>
        <v>293</v>
      </c>
      <c r="R306" s="4">
        <v>0.313</v>
      </c>
      <c r="S306" s="2">
        <f t="shared" ref="S306:U306" si="4180">_xlfn.RANK.EQ(R306, R$7:R$375,0)</f>
        <v>319</v>
      </c>
      <c r="T306" s="2">
        <v>8</v>
      </c>
      <c r="U306" s="2">
        <f t="shared" si="4180"/>
        <v>301</v>
      </c>
      <c r="V306" s="2">
        <v>23</v>
      </c>
      <c r="W306" s="2">
        <f t="shared" ref="W306:Y306" si="4181">_xlfn.RANK.EQ(V306, V$7:V$375,0)</f>
        <v>294</v>
      </c>
      <c r="X306" s="4">
        <v>0.34799999999999998</v>
      </c>
      <c r="Y306" s="2">
        <f t="shared" si="4181"/>
        <v>328</v>
      </c>
      <c r="Z306" s="2">
        <v>12</v>
      </c>
      <c r="AA306" s="2">
        <f t="shared" ref="AA306:AC306" si="4182">_xlfn.RANK.EQ(Z306, Z$7:Z$375,0)</f>
        <v>246</v>
      </c>
      <c r="AB306" s="2">
        <v>41</v>
      </c>
      <c r="AC306" s="2">
        <f t="shared" si="4182"/>
        <v>250</v>
      </c>
      <c r="AD306" s="4">
        <v>0.29299999999999998</v>
      </c>
      <c r="AE306" s="2">
        <f t="shared" ref="AE306:AG306" si="4183">_xlfn.RANK.EQ(AD306, AD$7:AD$375,0)</f>
        <v>224</v>
      </c>
      <c r="AF306" s="2">
        <v>10</v>
      </c>
      <c r="AG306" s="2">
        <f t="shared" si="4183"/>
        <v>271</v>
      </c>
      <c r="AH306" s="2">
        <v>14</v>
      </c>
      <c r="AI306" s="2">
        <f t="shared" ref="AI306:AK306" si="4184">_xlfn.RANK.EQ(AH306, AH$7:AH$375,0)</f>
        <v>271</v>
      </c>
      <c r="AJ306" s="4">
        <v>0.71399999999999997</v>
      </c>
      <c r="AK306" s="2">
        <f t="shared" si="4184"/>
        <v>191</v>
      </c>
      <c r="AL306" s="2">
        <v>10</v>
      </c>
      <c r="AM306" s="2">
        <f t="shared" ref="AM306:AO306" si="4185">_xlfn.RANK.EQ(AL306, AL$7:AL$375,0)</f>
        <v>276</v>
      </c>
      <c r="AN306" s="2">
        <v>13</v>
      </c>
      <c r="AO306" s="2">
        <f t="shared" si="4185"/>
        <v>301</v>
      </c>
      <c r="AP306" s="2">
        <v>23</v>
      </c>
      <c r="AQ306" s="2">
        <f t="shared" ref="AQ306:AS306" si="4186">_xlfn.RANK.EQ(AP306, AP$7:AP$375,0)</f>
        <v>301</v>
      </c>
      <c r="AR306" s="2">
        <v>45</v>
      </c>
      <c r="AS306" s="2">
        <f t="shared" si="4186"/>
        <v>227</v>
      </c>
      <c r="AT306" s="2">
        <v>20</v>
      </c>
      <c r="AU306" s="2">
        <f t="shared" ref="AU306:AW306" si="4187">_xlfn.RANK.EQ(AT306, AT$7:AT$375,0)</f>
        <v>253</v>
      </c>
      <c r="AV306" s="2">
        <v>6</v>
      </c>
      <c r="AW306" s="2">
        <f t="shared" si="4187"/>
        <v>293</v>
      </c>
      <c r="AX306" s="2">
        <v>0</v>
      </c>
      <c r="AY306" s="2">
        <f t="shared" ref="AY306:BA306" si="4188">_xlfn.RANK.EQ(AX306, AX$7:AX$375,0)</f>
        <v>298</v>
      </c>
      <c r="AZ306" s="2">
        <v>0</v>
      </c>
      <c r="BA306" s="2">
        <f t="shared" si="4188"/>
        <v>337</v>
      </c>
      <c r="BB306" s="2">
        <v>57</v>
      </c>
      <c r="BC306" s="2">
        <f t="shared" ref="BC306:BE306" si="4189">_xlfn.RANK.EQ(BB306, BB$7:BB$375,0)</f>
        <v>252</v>
      </c>
      <c r="BD306" s="2">
        <v>19</v>
      </c>
      <c r="BE306" s="2">
        <f t="shared" si="4189"/>
        <v>271</v>
      </c>
      <c r="BF306" s="2">
        <v>30</v>
      </c>
      <c r="BG306" s="2">
        <f t="shared" ref="BG306:BI306" si="4190">_xlfn.RANK.EQ(BF306, BF$7:BF$375,0)</f>
        <v>294</v>
      </c>
      <c r="BH306" s="2">
        <v>6</v>
      </c>
      <c r="BI306" s="2">
        <f t="shared" si="4190"/>
        <v>135</v>
      </c>
    </row>
    <row r="307" spans="1:61" x14ac:dyDescent="0.55000000000000004">
      <c r="A307" s="2">
        <v>301</v>
      </c>
      <c r="B307" s="2" t="s">
        <v>357</v>
      </c>
      <c r="C307" s="2" t="s">
        <v>113</v>
      </c>
      <c r="D307" s="2">
        <v>55</v>
      </c>
      <c r="E307" s="2">
        <f t="shared" si="3588"/>
        <v>139</v>
      </c>
      <c r="F307" s="2">
        <v>26</v>
      </c>
      <c r="G307" s="2">
        <f t="shared" ref="G307:I307" si="4191">_xlfn.RANK.EQ(F307, F$7:F$375,0)</f>
        <v>130</v>
      </c>
      <c r="H307" s="3">
        <v>30.177777777777777</v>
      </c>
      <c r="I307" s="2">
        <f t="shared" si="4191"/>
        <v>202</v>
      </c>
      <c r="J307" s="5">
        <v>0.54861111111111116</v>
      </c>
      <c r="K307" s="2">
        <f t="shared" ref="K307:M307" si="4192">_xlfn.RANK.EQ(J307, J$7:J$375,0)</f>
        <v>242</v>
      </c>
      <c r="L307" s="2">
        <v>61</v>
      </c>
      <c r="M307" s="2">
        <f t="shared" si="4192"/>
        <v>301</v>
      </c>
      <c r="N307" s="2">
        <v>24</v>
      </c>
      <c r="O307" s="2">
        <f t="shared" ref="O307:Q307" si="4193">_xlfn.RANK.EQ(N307, N$7:N$375,0)</f>
        <v>294</v>
      </c>
      <c r="P307" s="2">
        <v>78</v>
      </c>
      <c r="Q307" s="2">
        <f t="shared" si="4193"/>
        <v>279</v>
      </c>
      <c r="R307" s="4">
        <v>0.308</v>
      </c>
      <c r="S307" s="2">
        <f t="shared" ref="S307:U307" si="4194">_xlfn.RANK.EQ(R307, R$7:R$375,0)</f>
        <v>325</v>
      </c>
      <c r="T307" s="2">
        <v>18</v>
      </c>
      <c r="U307" s="2">
        <f t="shared" si="4194"/>
        <v>266</v>
      </c>
      <c r="V307" s="2">
        <v>49</v>
      </c>
      <c r="W307" s="2">
        <f t="shared" ref="W307:Y307" si="4195">_xlfn.RANK.EQ(V307, V$7:V$375,0)</f>
        <v>250</v>
      </c>
      <c r="X307" s="4">
        <v>0.36699999999999999</v>
      </c>
      <c r="Y307" s="2">
        <f t="shared" si="4195"/>
        <v>319</v>
      </c>
      <c r="Z307" s="2">
        <v>6</v>
      </c>
      <c r="AA307" s="2">
        <f t="shared" ref="AA307:AC307" si="4196">_xlfn.RANK.EQ(Z307, Z$7:Z$375,0)</f>
        <v>274</v>
      </c>
      <c r="AB307" s="2">
        <v>29</v>
      </c>
      <c r="AC307" s="2">
        <f t="shared" si="4196"/>
        <v>270</v>
      </c>
      <c r="AD307" s="4">
        <v>0.20699999999999999</v>
      </c>
      <c r="AE307" s="2">
        <f t="shared" ref="AE307:AG307" si="4197">_xlfn.RANK.EQ(AD307, AD$7:AD$375,0)</f>
        <v>298</v>
      </c>
      <c r="AF307" s="2">
        <v>7</v>
      </c>
      <c r="AG307" s="2">
        <f t="shared" si="4197"/>
        <v>286</v>
      </c>
      <c r="AH307" s="2">
        <v>14</v>
      </c>
      <c r="AI307" s="2">
        <f t="shared" ref="AI307:AK307" si="4198">_xlfn.RANK.EQ(AH307, AH$7:AH$375,0)</f>
        <v>271</v>
      </c>
      <c r="AJ307" s="4">
        <v>0.5</v>
      </c>
      <c r="AK307" s="2">
        <f t="shared" si="4198"/>
        <v>306</v>
      </c>
      <c r="AL307" s="2">
        <v>59</v>
      </c>
      <c r="AM307" s="2">
        <f t="shared" ref="AM307:AO307" si="4199">_xlfn.RANK.EQ(AL307, AL$7:AL$375,0)</f>
        <v>75</v>
      </c>
      <c r="AN307" s="2">
        <v>71</v>
      </c>
      <c r="AO307" s="2">
        <f t="shared" si="4199"/>
        <v>158</v>
      </c>
      <c r="AP307" s="2">
        <v>130</v>
      </c>
      <c r="AQ307" s="2">
        <f t="shared" ref="AQ307:AS307" si="4200">_xlfn.RANK.EQ(AP307, AP$7:AP$375,0)</f>
        <v>121</v>
      </c>
      <c r="AR307" s="2">
        <v>99</v>
      </c>
      <c r="AS307" s="2">
        <f t="shared" si="4200"/>
        <v>130</v>
      </c>
      <c r="AT307" s="2">
        <v>44</v>
      </c>
      <c r="AU307" s="2">
        <f t="shared" ref="AU307:AW307" si="4201">_xlfn.RANK.EQ(AT307, AT$7:AT$375,0)</f>
        <v>161</v>
      </c>
      <c r="AV307" s="2">
        <v>38</v>
      </c>
      <c r="AW307" s="2">
        <f t="shared" si="4201"/>
        <v>115</v>
      </c>
      <c r="AX307" s="2">
        <v>9</v>
      </c>
      <c r="AY307" s="2">
        <f t="shared" ref="AY307:BA307" si="4202">_xlfn.RANK.EQ(AX307, AX$7:AX$375,0)</f>
        <v>110</v>
      </c>
      <c r="AZ307" s="2">
        <v>6</v>
      </c>
      <c r="BA307" s="2">
        <f t="shared" si="4202"/>
        <v>214</v>
      </c>
      <c r="BB307" s="2">
        <v>115</v>
      </c>
      <c r="BC307" s="2">
        <f t="shared" ref="BC307:BE307" si="4203">_xlfn.RANK.EQ(BB307, BB$7:BB$375,0)</f>
        <v>94</v>
      </c>
      <c r="BD307" s="2">
        <v>21</v>
      </c>
      <c r="BE307" s="2">
        <f t="shared" si="4203"/>
        <v>262</v>
      </c>
      <c r="BF307" s="2">
        <v>132</v>
      </c>
      <c r="BG307" s="2">
        <f t="shared" ref="BG307:BI307" si="4204">_xlfn.RANK.EQ(BF307, BF$7:BF$375,0)</f>
        <v>220</v>
      </c>
      <c r="BH307" s="2">
        <v>-101</v>
      </c>
      <c r="BI307" s="2">
        <f t="shared" si="4204"/>
        <v>281</v>
      </c>
    </row>
    <row r="308" spans="1:61" x14ac:dyDescent="0.55000000000000004">
      <c r="A308" s="2">
        <v>302</v>
      </c>
      <c r="B308" s="2" t="s">
        <v>358</v>
      </c>
      <c r="C308" s="2" t="s">
        <v>62</v>
      </c>
      <c r="D308" s="2">
        <v>32</v>
      </c>
      <c r="E308" s="2">
        <f t="shared" si="3588"/>
        <v>279</v>
      </c>
      <c r="F308" s="2">
        <v>1</v>
      </c>
      <c r="G308" s="2">
        <f t="shared" ref="G308:I308" si="4205">_xlfn.RANK.EQ(F308, F$7:F$375,0)</f>
        <v>272</v>
      </c>
      <c r="H308" s="3">
        <v>8.4145833333333329</v>
      </c>
      <c r="I308" s="2">
        <f t="shared" si="4205"/>
        <v>306</v>
      </c>
      <c r="J308" s="5">
        <v>0.26250000000000001</v>
      </c>
      <c r="K308" s="2">
        <f t="shared" ref="K308:M308" si="4206">_xlfn.RANK.EQ(J308, J$7:J$375,0)</f>
        <v>312</v>
      </c>
      <c r="L308" s="2">
        <v>60</v>
      </c>
      <c r="M308" s="2">
        <f t="shared" si="4206"/>
        <v>302</v>
      </c>
      <c r="N308" s="2">
        <v>18</v>
      </c>
      <c r="O308" s="2">
        <f t="shared" ref="O308:Q308" si="4207">_xlfn.RANK.EQ(N308, N$7:N$375,0)</f>
        <v>308</v>
      </c>
      <c r="P308" s="2">
        <v>65</v>
      </c>
      <c r="Q308" s="2">
        <f t="shared" si="4207"/>
        <v>292</v>
      </c>
      <c r="R308" s="4">
        <v>0.27700000000000002</v>
      </c>
      <c r="S308" s="2">
        <f t="shared" ref="S308:U308" si="4208">_xlfn.RANK.EQ(R308, R$7:R$375,0)</f>
        <v>342</v>
      </c>
      <c r="T308" s="2">
        <v>11</v>
      </c>
      <c r="U308" s="2">
        <f t="shared" si="4208"/>
        <v>291</v>
      </c>
      <c r="V308" s="2">
        <v>35</v>
      </c>
      <c r="W308" s="2">
        <f t="shared" ref="W308:Y308" si="4209">_xlfn.RANK.EQ(V308, V$7:V$375,0)</f>
        <v>277</v>
      </c>
      <c r="X308" s="4">
        <v>0.314</v>
      </c>
      <c r="Y308" s="2">
        <f t="shared" si="4209"/>
        <v>342</v>
      </c>
      <c r="Z308" s="2">
        <v>7</v>
      </c>
      <c r="AA308" s="2">
        <f t="shared" ref="AA308:AC308" si="4210">_xlfn.RANK.EQ(Z308, Z$7:Z$375,0)</f>
        <v>269</v>
      </c>
      <c r="AB308" s="2">
        <v>30</v>
      </c>
      <c r="AC308" s="2">
        <f t="shared" si="4210"/>
        <v>266</v>
      </c>
      <c r="AD308" s="4">
        <v>0.23300000000000001</v>
      </c>
      <c r="AE308" s="2">
        <f t="shared" ref="AE308:AG308" si="4211">_xlfn.RANK.EQ(AD308, AD$7:AD$375,0)</f>
        <v>280</v>
      </c>
      <c r="AF308" s="2">
        <v>17</v>
      </c>
      <c r="AG308" s="2">
        <f t="shared" si="4211"/>
        <v>229</v>
      </c>
      <c r="AH308" s="2">
        <v>26</v>
      </c>
      <c r="AI308" s="2">
        <f t="shared" ref="AI308:AK308" si="4212">_xlfn.RANK.EQ(AH308, AH$7:AH$375,0)</f>
        <v>222</v>
      </c>
      <c r="AJ308" s="4">
        <v>0.65400000000000003</v>
      </c>
      <c r="AK308" s="2">
        <f t="shared" si="4212"/>
        <v>246</v>
      </c>
      <c r="AL308" s="2">
        <v>4</v>
      </c>
      <c r="AM308" s="2">
        <f t="shared" ref="AM308:AO308" si="4213">_xlfn.RANK.EQ(AL308, AL$7:AL$375,0)</f>
        <v>305</v>
      </c>
      <c r="AN308" s="2">
        <v>8</v>
      </c>
      <c r="AO308" s="2">
        <f t="shared" si="4213"/>
        <v>318</v>
      </c>
      <c r="AP308" s="2">
        <v>12</v>
      </c>
      <c r="AQ308" s="2">
        <f t="shared" ref="AQ308:AS308" si="4214">_xlfn.RANK.EQ(AP308, AP$7:AP$375,0)</f>
        <v>320</v>
      </c>
      <c r="AR308" s="2">
        <v>19</v>
      </c>
      <c r="AS308" s="2">
        <f t="shared" si="4214"/>
        <v>280</v>
      </c>
      <c r="AT308" s="2">
        <v>23</v>
      </c>
      <c r="AU308" s="2">
        <f t="shared" ref="AU308:AW308" si="4215">_xlfn.RANK.EQ(AT308, AT$7:AT$375,0)</f>
        <v>241</v>
      </c>
      <c r="AV308" s="2">
        <v>3</v>
      </c>
      <c r="AW308" s="2">
        <f t="shared" si="4215"/>
        <v>318</v>
      </c>
      <c r="AX308" s="2">
        <v>0</v>
      </c>
      <c r="AY308" s="2">
        <f t="shared" ref="AY308:BA308" si="4216">_xlfn.RANK.EQ(AX308, AX$7:AX$375,0)</f>
        <v>298</v>
      </c>
      <c r="AZ308" s="2">
        <v>3</v>
      </c>
      <c r="BA308" s="2">
        <f t="shared" si="4216"/>
        <v>267</v>
      </c>
      <c r="BB308" s="2">
        <v>47</v>
      </c>
      <c r="BC308" s="2">
        <f t="shared" ref="BC308:BE308" si="4217">_xlfn.RANK.EQ(BB308, BB$7:BB$375,0)</f>
        <v>272</v>
      </c>
      <c r="BD308" s="2">
        <v>32</v>
      </c>
      <c r="BE308" s="2">
        <f t="shared" si="4217"/>
        <v>227</v>
      </c>
      <c r="BF308" s="2">
        <v>-3</v>
      </c>
      <c r="BG308" s="2">
        <f t="shared" ref="BG308:BI308" si="4218">_xlfn.RANK.EQ(BF308, BF$7:BF$375,0)</f>
        <v>352</v>
      </c>
      <c r="BH308" s="2">
        <v>-114</v>
      </c>
      <c r="BI308" s="2">
        <f t="shared" si="4218"/>
        <v>293</v>
      </c>
    </row>
    <row r="309" spans="1:61" x14ac:dyDescent="0.55000000000000004">
      <c r="A309" s="2">
        <v>302</v>
      </c>
      <c r="B309" s="2" t="s">
        <v>359</v>
      </c>
      <c r="C309" s="2" t="s">
        <v>36</v>
      </c>
      <c r="D309" s="2">
        <v>57</v>
      </c>
      <c r="E309" s="2">
        <f t="shared" si="3588"/>
        <v>100</v>
      </c>
      <c r="F309" s="2">
        <v>1</v>
      </c>
      <c r="G309" s="2">
        <f t="shared" ref="G309:I309" si="4219">_xlfn.RANK.EQ(F309, F$7:F$375,0)</f>
        <v>272</v>
      </c>
      <c r="H309" s="3">
        <v>14.966666666666667</v>
      </c>
      <c r="I309" s="2">
        <f t="shared" si="4219"/>
        <v>277</v>
      </c>
      <c r="J309" s="5">
        <v>0.26250000000000001</v>
      </c>
      <c r="K309" s="2">
        <f t="shared" ref="K309:M309" si="4220">_xlfn.RANK.EQ(J309, J$7:J$375,0)</f>
        <v>312</v>
      </c>
      <c r="L309" s="2">
        <v>60</v>
      </c>
      <c r="M309" s="2">
        <f t="shared" si="4220"/>
        <v>302</v>
      </c>
      <c r="N309" s="2">
        <v>21</v>
      </c>
      <c r="O309" s="2">
        <f t="shared" ref="O309:Q309" si="4221">_xlfn.RANK.EQ(N309, N$7:N$375,0)</f>
        <v>300</v>
      </c>
      <c r="P309" s="2">
        <v>70</v>
      </c>
      <c r="Q309" s="2">
        <f t="shared" si="4221"/>
        <v>288</v>
      </c>
      <c r="R309" s="4">
        <v>0.3</v>
      </c>
      <c r="S309" s="2">
        <f t="shared" ref="S309:U309" si="4222">_xlfn.RANK.EQ(R309, R$7:R$375,0)</f>
        <v>330</v>
      </c>
      <c r="T309" s="2">
        <v>16</v>
      </c>
      <c r="U309" s="2">
        <f t="shared" si="4222"/>
        <v>274</v>
      </c>
      <c r="V309" s="2">
        <v>47</v>
      </c>
      <c r="W309" s="2">
        <f t="shared" ref="W309:Y309" si="4223">_xlfn.RANK.EQ(V309, V$7:V$375,0)</f>
        <v>251</v>
      </c>
      <c r="X309" s="4">
        <v>0.34</v>
      </c>
      <c r="Y309" s="2">
        <f t="shared" si="4223"/>
        <v>332</v>
      </c>
      <c r="Z309" s="2">
        <v>5</v>
      </c>
      <c r="AA309" s="2">
        <f t="shared" ref="AA309:AC309" si="4224">_xlfn.RANK.EQ(Z309, Z$7:Z$375,0)</f>
        <v>280</v>
      </c>
      <c r="AB309" s="2">
        <v>23</v>
      </c>
      <c r="AC309" s="2">
        <f t="shared" si="4224"/>
        <v>281</v>
      </c>
      <c r="AD309" s="4">
        <v>0.217</v>
      </c>
      <c r="AE309" s="2">
        <f t="shared" ref="AE309:AG309" si="4225">_xlfn.RANK.EQ(AD309, AD$7:AD$375,0)</f>
        <v>290</v>
      </c>
      <c r="AF309" s="2">
        <v>13</v>
      </c>
      <c r="AG309" s="2">
        <f t="shared" si="4225"/>
        <v>248</v>
      </c>
      <c r="AH309" s="2">
        <v>19</v>
      </c>
      <c r="AI309" s="2">
        <f t="shared" ref="AI309:AK309" si="4226">_xlfn.RANK.EQ(AH309, AH$7:AH$375,0)</f>
        <v>247</v>
      </c>
      <c r="AJ309" s="4">
        <v>0.68400000000000005</v>
      </c>
      <c r="AK309" s="2">
        <f t="shared" si="4226"/>
        <v>213</v>
      </c>
      <c r="AL309" s="2">
        <v>5</v>
      </c>
      <c r="AM309" s="2">
        <f t="shared" ref="AM309:AO309" si="4227">_xlfn.RANK.EQ(AL309, AL$7:AL$375,0)</f>
        <v>298</v>
      </c>
      <c r="AN309" s="2">
        <v>10</v>
      </c>
      <c r="AO309" s="2">
        <f t="shared" si="4227"/>
        <v>311</v>
      </c>
      <c r="AP309" s="2">
        <v>15</v>
      </c>
      <c r="AQ309" s="2">
        <f t="shared" ref="AQ309:AS309" si="4228">_xlfn.RANK.EQ(AP309, AP$7:AP$375,0)</f>
        <v>308</v>
      </c>
      <c r="AR309" s="2">
        <v>36</v>
      </c>
      <c r="AS309" s="2">
        <f t="shared" si="4228"/>
        <v>241</v>
      </c>
      <c r="AT309" s="2">
        <v>22</v>
      </c>
      <c r="AU309" s="2">
        <f t="shared" ref="AU309:AW309" si="4229">_xlfn.RANK.EQ(AT309, AT$7:AT$375,0)</f>
        <v>245</v>
      </c>
      <c r="AV309" s="2">
        <v>7</v>
      </c>
      <c r="AW309" s="2">
        <f t="shared" si="4229"/>
        <v>287</v>
      </c>
      <c r="AX309" s="2">
        <v>0</v>
      </c>
      <c r="AY309" s="2">
        <f t="shared" ref="AY309:BA309" si="4230">_xlfn.RANK.EQ(AX309, AX$7:AX$375,0)</f>
        <v>298</v>
      </c>
      <c r="AZ309" s="2">
        <v>7</v>
      </c>
      <c r="BA309" s="2">
        <f t="shared" si="4230"/>
        <v>195</v>
      </c>
      <c r="BB309" s="2">
        <v>65</v>
      </c>
      <c r="BC309" s="2">
        <f t="shared" ref="BC309:BE309" si="4231">_xlfn.RANK.EQ(BB309, BB$7:BB$375,0)</f>
        <v>229</v>
      </c>
      <c r="BD309" s="2">
        <v>28</v>
      </c>
      <c r="BE309" s="2">
        <f t="shared" si="4231"/>
        <v>238</v>
      </c>
      <c r="BF309" s="2">
        <v>-3</v>
      </c>
      <c r="BG309" s="2">
        <f t="shared" ref="BG309:BI309" si="4232">_xlfn.RANK.EQ(BF309, BF$7:BF$375,0)</f>
        <v>352</v>
      </c>
      <c r="BH309" s="2">
        <v>-108</v>
      </c>
      <c r="BI309" s="2">
        <f t="shared" si="4232"/>
        <v>289</v>
      </c>
    </row>
    <row r="310" spans="1:61" x14ac:dyDescent="0.55000000000000004">
      <c r="A310" s="2">
        <v>304</v>
      </c>
      <c r="B310" s="2" t="s">
        <v>360</v>
      </c>
      <c r="C310" s="2" t="s">
        <v>40</v>
      </c>
      <c r="D310" s="2">
        <v>12</v>
      </c>
      <c r="E310" s="2">
        <f t="shared" si="3588"/>
        <v>343</v>
      </c>
      <c r="F310" s="2">
        <v>0</v>
      </c>
      <c r="G310" s="2">
        <f t="shared" ref="G310:I310" si="4233">_xlfn.RANK.EQ(F310, F$7:F$375,0)</f>
        <v>291</v>
      </c>
      <c r="H310" s="3">
        <v>6.665972222222222</v>
      </c>
      <c r="I310" s="2">
        <f t="shared" si="4233"/>
        <v>316</v>
      </c>
      <c r="J310" s="5">
        <v>0.55486111111111114</v>
      </c>
      <c r="K310" s="2">
        <f t="shared" ref="K310:M310" si="4234">_xlfn.RANK.EQ(J310, J$7:J$375,0)</f>
        <v>239</v>
      </c>
      <c r="L310" s="2">
        <v>58</v>
      </c>
      <c r="M310" s="2">
        <f t="shared" si="4234"/>
        <v>304</v>
      </c>
      <c r="N310" s="2">
        <v>20</v>
      </c>
      <c r="O310" s="2">
        <f t="shared" ref="O310:Q310" si="4235">_xlfn.RANK.EQ(N310, N$7:N$375,0)</f>
        <v>302</v>
      </c>
      <c r="P310" s="2">
        <v>49</v>
      </c>
      <c r="Q310" s="2">
        <f t="shared" si="4235"/>
        <v>305</v>
      </c>
      <c r="R310" s="4">
        <v>0.40799999999999997</v>
      </c>
      <c r="S310" s="2">
        <f t="shared" ref="S310:U310" si="4236">_xlfn.RANK.EQ(R310, R$7:R$375,0)</f>
        <v>184</v>
      </c>
      <c r="T310" s="2">
        <v>7</v>
      </c>
      <c r="U310" s="2">
        <f t="shared" si="4236"/>
        <v>305</v>
      </c>
      <c r="V310" s="2">
        <v>14</v>
      </c>
      <c r="W310" s="2">
        <f t="shared" ref="W310:Y310" si="4237">_xlfn.RANK.EQ(V310, V$7:V$375,0)</f>
        <v>317</v>
      </c>
      <c r="X310" s="4">
        <v>0.5</v>
      </c>
      <c r="Y310" s="2">
        <f t="shared" si="4237"/>
        <v>175</v>
      </c>
      <c r="Z310" s="2">
        <v>13</v>
      </c>
      <c r="AA310" s="2">
        <f t="shared" ref="AA310:AC310" si="4238">_xlfn.RANK.EQ(Z310, Z$7:Z$375,0)</f>
        <v>238</v>
      </c>
      <c r="AB310" s="2">
        <v>35</v>
      </c>
      <c r="AC310" s="2">
        <f t="shared" si="4238"/>
        <v>259</v>
      </c>
      <c r="AD310" s="4">
        <v>0.371</v>
      </c>
      <c r="AE310" s="2">
        <f t="shared" ref="AE310:AG310" si="4239">_xlfn.RANK.EQ(AD310, AD$7:AD$375,0)</f>
        <v>80</v>
      </c>
      <c r="AF310" s="2">
        <v>5</v>
      </c>
      <c r="AG310" s="2">
        <f t="shared" si="4239"/>
        <v>297</v>
      </c>
      <c r="AH310" s="2">
        <v>5</v>
      </c>
      <c r="AI310" s="2">
        <f t="shared" ref="AI310:AK310" si="4240">_xlfn.RANK.EQ(AH310, AH$7:AH$375,0)</f>
        <v>315</v>
      </c>
      <c r="AJ310" s="4">
        <v>1</v>
      </c>
      <c r="AK310" s="2">
        <f t="shared" si="4240"/>
        <v>1</v>
      </c>
      <c r="AL310" s="2">
        <v>4</v>
      </c>
      <c r="AM310" s="2">
        <f t="shared" ref="AM310:AO310" si="4241">_xlfn.RANK.EQ(AL310, AL$7:AL$375,0)</f>
        <v>305</v>
      </c>
      <c r="AN310" s="2">
        <v>3</v>
      </c>
      <c r="AO310" s="2">
        <f t="shared" si="4241"/>
        <v>342</v>
      </c>
      <c r="AP310" s="2">
        <v>7</v>
      </c>
      <c r="AQ310" s="2">
        <f t="shared" ref="AQ310:AS310" si="4242">_xlfn.RANK.EQ(AP310, AP$7:AP$375,0)</f>
        <v>336</v>
      </c>
      <c r="AR310" s="2">
        <v>11</v>
      </c>
      <c r="AS310" s="2">
        <f t="shared" si="4242"/>
        <v>309</v>
      </c>
      <c r="AT310" s="2">
        <v>8</v>
      </c>
      <c r="AU310" s="2">
        <f t="shared" ref="AU310:AW310" si="4243">_xlfn.RANK.EQ(AT310, AT$7:AT$375,0)</f>
        <v>314</v>
      </c>
      <c r="AV310" s="2">
        <v>4</v>
      </c>
      <c r="AW310" s="2">
        <f t="shared" si="4243"/>
        <v>312</v>
      </c>
      <c r="AX310" s="2">
        <v>0</v>
      </c>
      <c r="AY310" s="2">
        <f t="shared" ref="AY310:BA310" si="4244">_xlfn.RANK.EQ(AX310, AX$7:AX$375,0)</f>
        <v>298</v>
      </c>
      <c r="AZ310" s="2">
        <v>1</v>
      </c>
      <c r="BA310" s="2">
        <f t="shared" si="4244"/>
        <v>308</v>
      </c>
      <c r="BB310" s="2">
        <v>15</v>
      </c>
      <c r="BC310" s="2">
        <f t="shared" ref="BC310:BE310" si="4245">_xlfn.RANK.EQ(BB310, BB$7:BB$375,0)</f>
        <v>329</v>
      </c>
      <c r="BD310" s="2">
        <v>7</v>
      </c>
      <c r="BE310" s="2">
        <f t="shared" si="4245"/>
        <v>312</v>
      </c>
      <c r="BF310" s="2">
        <v>33</v>
      </c>
      <c r="BG310" s="2">
        <f t="shared" ref="BG310:BI310" si="4246">_xlfn.RANK.EQ(BF310, BF$7:BF$375,0)</f>
        <v>292</v>
      </c>
      <c r="BH310" s="2">
        <v>-67</v>
      </c>
      <c r="BI310" s="2">
        <f t="shared" si="4246"/>
        <v>258</v>
      </c>
    </row>
    <row r="311" spans="1:61" x14ac:dyDescent="0.55000000000000004">
      <c r="A311" s="2">
        <v>305</v>
      </c>
      <c r="B311" s="2" t="s">
        <v>361</v>
      </c>
      <c r="C311" s="2" t="s">
        <v>113</v>
      </c>
      <c r="D311" s="2">
        <v>16</v>
      </c>
      <c r="E311" s="2">
        <f t="shared" si="3588"/>
        <v>335</v>
      </c>
      <c r="F311" s="2">
        <v>6</v>
      </c>
      <c r="G311" s="2">
        <f t="shared" ref="G311:I311" si="4247">_xlfn.RANK.EQ(F311, F$7:F$375,0)</f>
        <v>228</v>
      </c>
      <c r="H311" s="3">
        <v>6.1638888888888888</v>
      </c>
      <c r="I311" s="2">
        <f t="shared" si="4247"/>
        <v>321</v>
      </c>
      <c r="J311" s="5">
        <v>0.38472222222222224</v>
      </c>
      <c r="K311" s="2">
        <f t="shared" ref="K311:M311" si="4248">_xlfn.RANK.EQ(J311, J$7:J$375,0)</f>
        <v>285</v>
      </c>
      <c r="L311" s="2">
        <v>57</v>
      </c>
      <c r="M311" s="2">
        <f t="shared" si="4248"/>
        <v>305</v>
      </c>
      <c r="N311" s="2">
        <v>20</v>
      </c>
      <c r="O311" s="2">
        <f t="shared" ref="O311:Q311" si="4249">_xlfn.RANK.EQ(N311, N$7:N$375,0)</f>
        <v>302</v>
      </c>
      <c r="P311" s="2">
        <v>54</v>
      </c>
      <c r="Q311" s="2">
        <f t="shared" si="4249"/>
        <v>302</v>
      </c>
      <c r="R311" s="4">
        <v>0.37</v>
      </c>
      <c r="S311" s="2">
        <f t="shared" ref="S311:U311" si="4250">_xlfn.RANK.EQ(R311, R$7:R$375,0)</f>
        <v>244</v>
      </c>
      <c r="T311" s="2">
        <v>7</v>
      </c>
      <c r="U311" s="2">
        <f t="shared" si="4250"/>
        <v>305</v>
      </c>
      <c r="V311" s="2">
        <v>16</v>
      </c>
      <c r="W311" s="2">
        <f t="shared" ref="W311:Y311" si="4251">_xlfn.RANK.EQ(V311, V$7:V$375,0)</f>
        <v>309</v>
      </c>
      <c r="X311" s="4">
        <v>0.438</v>
      </c>
      <c r="Y311" s="2">
        <f t="shared" si="4251"/>
        <v>256</v>
      </c>
      <c r="Z311" s="2">
        <v>13</v>
      </c>
      <c r="AA311" s="2">
        <f t="shared" ref="AA311:AC311" si="4252">_xlfn.RANK.EQ(Z311, Z$7:Z$375,0)</f>
        <v>238</v>
      </c>
      <c r="AB311" s="2">
        <v>38</v>
      </c>
      <c r="AC311" s="2">
        <f t="shared" si="4252"/>
        <v>254</v>
      </c>
      <c r="AD311" s="4">
        <v>0.34200000000000003</v>
      </c>
      <c r="AE311" s="2">
        <f t="shared" ref="AE311:AG311" si="4253">_xlfn.RANK.EQ(AD311, AD$7:AD$375,0)</f>
        <v>130</v>
      </c>
      <c r="AF311" s="2">
        <v>4</v>
      </c>
      <c r="AG311" s="2">
        <f t="shared" si="4253"/>
        <v>310</v>
      </c>
      <c r="AH311" s="2">
        <v>8</v>
      </c>
      <c r="AI311" s="2">
        <f t="shared" ref="AI311:AK311" si="4254">_xlfn.RANK.EQ(AH311, AH$7:AH$375,0)</f>
        <v>300</v>
      </c>
      <c r="AJ311" s="4">
        <v>0.5</v>
      </c>
      <c r="AK311" s="2">
        <f t="shared" si="4254"/>
        <v>306</v>
      </c>
      <c r="AL311" s="2">
        <v>3</v>
      </c>
      <c r="AM311" s="2">
        <f t="shared" ref="AM311:AO311" si="4255">_xlfn.RANK.EQ(AL311, AL$7:AL$375,0)</f>
        <v>319</v>
      </c>
      <c r="AN311" s="2">
        <v>11</v>
      </c>
      <c r="AO311" s="2">
        <f t="shared" si="4255"/>
        <v>307</v>
      </c>
      <c r="AP311" s="2">
        <v>14</v>
      </c>
      <c r="AQ311" s="2">
        <f t="shared" ref="AQ311:AS311" si="4256">_xlfn.RANK.EQ(AP311, AP$7:AP$375,0)</f>
        <v>311</v>
      </c>
      <c r="AR311" s="2">
        <v>4</v>
      </c>
      <c r="AS311" s="2">
        <f t="shared" si="4256"/>
        <v>327</v>
      </c>
      <c r="AT311" s="2">
        <v>2</v>
      </c>
      <c r="AU311" s="2">
        <f t="shared" ref="AU311:AW311" si="4257">_xlfn.RANK.EQ(AT311, AT$7:AT$375,0)</f>
        <v>347</v>
      </c>
      <c r="AV311" s="2">
        <v>8</v>
      </c>
      <c r="AW311" s="2">
        <f t="shared" si="4257"/>
        <v>281</v>
      </c>
      <c r="AX311" s="2">
        <v>0</v>
      </c>
      <c r="AY311" s="2">
        <f t="shared" ref="AY311:BA311" si="4258">_xlfn.RANK.EQ(AX311, AX$7:AX$375,0)</f>
        <v>298</v>
      </c>
      <c r="AZ311" s="2">
        <v>2</v>
      </c>
      <c r="BA311" s="2">
        <f t="shared" si="4258"/>
        <v>285</v>
      </c>
      <c r="BB311" s="2">
        <v>12</v>
      </c>
      <c r="BC311" s="2">
        <f t="shared" ref="BC311:BE311" si="4259">_xlfn.RANK.EQ(BB311, BB$7:BB$375,0)</f>
        <v>331</v>
      </c>
      <c r="BD311" s="2">
        <v>8</v>
      </c>
      <c r="BE311" s="2">
        <f t="shared" si="4259"/>
        <v>309</v>
      </c>
      <c r="BF311" s="2">
        <v>37</v>
      </c>
      <c r="BG311" s="2">
        <f t="shared" ref="BG311:BI311" si="4260">_xlfn.RANK.EQ(BF311, BF$7:BF$375,0)</f>
        <v>289</v>
      </c>
      <c r="BH311" s="2">
        <v>-15</v>
      </c>
      <c r="BI311" s="2">
        <f t="shared" si="4260"/>
        <v>180</v>
      </c>
    </row>
    <row r="312" spans="1:61" x14ac:dyDescent="0.55000000000000004">
      <c r="A312" s="2">
        <v>306</v>
      </c>
      <c r="B312" s="2" t="s">
        <v>362</v>
      </c>
      <c r="C312" s="2" t="s">
        <v>52</v>
      </c>
      <c r="D312" s="2">
        <v>26</v>
      </c>
      <c r="E312" s="2">
        <f t="shared" si="3588"/>
        <v>298</v>
      </c>
      <c r="F312" s="2">
        <v>1</v>
      </c>
      <c r="G312" s="2">
        <f t="shared" ref="G312:I312" si="4261">_xlfn.RANK.EQ(F312, F$7:F$375,0)</f>
        <v>272</v>
      </c>
      <c r="H312" s="3">
        <v>6.7986111111111107</v>
      </c>
      <c r="I312" s="2">
        <f t="shared" si="4261"/>
        <v>314</v>
      </c>
      <c r="J312" s="5">
        <v>0.26111111111111113</v>
      </c>
      <c r="K312" s="2">
        <f t="shared" ref="K312:M312" si="4262">_xlfn.RANK.EQ(J312, J$7:J$375,0)</f>
        <v>314</v>
      </c>
      <c r="L312" s="2">
        <v>53</v>
      </c>
      <c r="M312" s="2">
        <f t="shared" si="4262"/>
        <v>306</v>
      </c>
      <c r="N312" s="2">
        <v>23</v>
      </c>
      <c r="O312" s="2">
        <f t="shared" ref="O312:Q312" si="4263">_xlfn.RANK.EQ(N312, N$7:N$375,0)</f>
        <v>298</v>
      </c>
      <c r="P312" s="2">
        <v>57</v>
      </c>
      <c r="Q312" s="2">
        <f t="shared" si="4263"/>
        <v>300</v>
      </c>
      <c r="R312" s="4">
        <v>0.40400000000000003</v>
      </c>
      <c r="S312" s="2">
        <f t="shared" ref="S312:U312" si="4264">_xlfn.RANK.EQ(R312, R$7:R$375,0)</f>
        <v>192</v>
      </c>
      <c r="T312" s="2">
        <v>21</v>
      </c>
      <c r="U312" s="2">
        <f t="shared" si="4264"/>
        <v>255</v>
      </c>
      <c r="V312" s="2">
        <v>44</v>
      </c>
      <c r="W312" s="2">
        <f t="shared" ref="W312:Y312" si="4265">_xlfn.RANK.EQ(V312, V$7:V$375,0)</f>
        <v>255</v>
      </c>
      <c r="X312" s="4">
        <v>0.47699999999999998</v>
      </c>
      <c r="Y312" s="2">
        <f t="shared" si="4265"/>
        <v>212</v>
      </c>
      <c r="Z312" s="2">
        <v>2</v>
      </c>
      <c r="AA312" s="2">
        <f t="shared" ref="AA312:AC312" si="4266">_xlfn.RANK.EQ(Z312, Z$7:Z$375,0)</f>
        <v>304</v>
      </c>
      <c r="AB312" s="2">
        <v>13</v>
      </c>
      <c r="AC312" s="2">
        <f t="shared" si="4266"/>
        <v>298</v>
      </c>
      <c r="AD312" s="4">
        <v>0.154</v>
      </c>
      <c r="AE312" s="2">
        <f t="shared" ref="AE312:AG312" si="4267">_xlfn.RANK.EQ(AD312, AD$7:AD$375,0)</f>
        <v>318</v>
      </c>
      <c r="AF312" s="2">
        <v>5</v>
      </c>
      <c r="AG312" s="2">
        <f t="shared" si="4267"/>
        <v>297</v>
      </c>
      <c r="AH312" s="2">
        <v>11</v>
      </c>
      <c r="AI312" s="2">
        <f t="shared" ref="AI312:AK312" si="4268">_xlfn.RANK.EQ(AH312, AH$7:AH$375,0)</f>
        <v>287</v>
      </c>
      <c r="AJ312" s="4">
        <v>0.45500000000000002</v>
      </c>
      <c r="AK312" s="2">
        <f t="shared" si="4268"/>
        <v>334</v>
      </c>
      <c r="AL312" s="2">
        <v>19</v>
      </c>
      <c r="AM312" s="2">
        <f t="shared" ref="AM312:AO312" si="4269">_xlfn.RANK.EQ(AL312, AL$7:AL$375,0)</f>
        <v>205</v>
      </c>
      <c r="AN312" s="2">
        <v>11</v>
      </c>
      <c r="AO312" s="2">
        <f t="shared" si="4269"/>
        <v>307</v>
      </c>
      <c r="AP312" s="2">
        <v>30</v>
      </c>
      <c r="AQ312" s="2">
        <f t="shared" ref="AQ312:AS312" si="4270">_xlfn.RANK.EQ(AP312, AP$7:AP$375,0)</f>
        <v>286</v>
      </c>
      <c r="AR312" s="2">
        <v>13</v>
      </c>
      <c r="AS312" s="2">
        <f t="shared" si="4270"/>
        <v>298</v>
      </c>
      <c r="AT312" s="2">
        <v>11</v>
      </c>
      <c r="AU312" s="2">
        <f t="shared" ref="AU312:AW312" si="4271">_xlfn.RANK.EQ(AT312, AT$7:AT$375,0)</f>
        <v>301</v>
      </c>
      <c r="AV312" s="2">
        <v>8</v>
      </c>
      <c r="AW312" s="2">
        <f t="shared" si="4271"/>
        <v>281</v>
      </c>
      <c r="AX312" s="2">
        <v>4</v>
      </c>
      <c r="AY312" s="2">
        <f t="shared" ref="AY312:BA312" si="4272">_xlfn.RANK.EQ(AX312, AX$7:AX$375,0)</f>
        <v>186</v>
      </c>
      <c r="AZ312" s="2">
        <v>6</v>
      </c>
      <c r="BA312" s="2">
        <f t="shared" si="4272"/>
        <v>214</v>
      </c>
      <c r="BB312" s="2">
        <v>27</v>
      </c>
      <c r="BC312" s="2">
        <f t="shared" ref="BC312:BE312" si="4273">_xlfn.RANK.EQ(BB312, BB$7:BB$375,0)</f>
        <v>305</v>
      </c>
      <c r="BD312" s="2">
        <v>12</v>
      </c>
      <c r="BE312" s="2">
        <f t="shared" si="4273"/>
        <v>293</v>
      </c>
      <c r="BF312" s="2">
        <v>36</v>
      </c>
      <c r="BG312" s="2">
        <f t="shared" ref="BG312:BI312" si="4274">_xlfn.RANK.EQ(BF312, BF$7:BF$375,0)</f>
        <v>290</v>
      </c>
      <c r="BH312" s="2">
        <v>-57</v>
      </c>
      <c r="BI312" s="2">
        <f t="shared" si="4274"/>
        <v>244</v>
      </c>
    </row>
    <row r="313" spans="1:61" x14ac:dyDescent="0.55000000000000004">
      <c r="A313" s="2">
        <v>306</v>
      </c>
      <c r="B313" s="2" t="s">
        <v>363</v>
      </c>
      <c r="C313" s="2" t="s">
        <v>62</v>
      </c>
      <c r="D313" s="2">
        <v>45</v>
      </c>
      <c r="E313" s="2">
        <f t="shared" si="3588"/>
        <v>217</v>
      </c>
      <c r="F313" s="2">
        <v>0</v>
      </c>
      <c r="G313" s="2">
        <f t="shared" ref="G313:I313" si="4275">_xlfn.RANK.EQ(F313, F$7:F$375,0)</f>
        <v>291</v>
      </c>
      <c r="H313" s="3">
        <v>11.311805555555555</v>
      </c>
      <c r="I313" s="2">
        <f t="shared" si="4275"/>
        <v>291</v>
      </c>
      <c r="J313" s="5">
        <v>0.25069444444444444</v>
      </c>
      <c r="K313" s="2">
        <f t="shared" ref="K313:M313" si="4276">_xlfn.RANK.EQ(J313, J$7:J$375,0)</f>
        <v>317</v>
      </c>
      <c r="L313" s="2">
        <v>53</v>
      </c>
      <c r="M313" s="2">
        <f t="shared" si="4276"/>
        <v>306</v>
      </c>
      <c r="N313" s="2">
        <v>22</v>
      </c>
      <c r="O313" s="2">
        <f t="shared" ref="O313:Q313" si="4277">_xlfn.RANK.EQ(N313, N$7:N$375,0)</f>
        <v>299</v>
      </c>
      <c r="P313" s="2">
        <v>54</v>
      </c>
      <c r="Q313" s="2">
        <f t="shared" si="4277"/>
        <v>302</v>
      </c>
      <c r="R313" s="4">
        <v>0.40699999999999997</v>
      </c>
      <c r="S313" s="2">
        <f t="shared" ref="S313:U313" si="4278">_xlfn.RANK.EQ(R313, R$7:R$375,0)</f>
        <v>185</v>
      </c>
      <c r="T313" s="2">
        <v>22</v>
      </c>
      <c r="U313" s="2">
        <f t="shared" si="4278"/>
        <v>251</v>
      </c>
      <c r="V313" s="2">
        <v>54</v>
      </c>
      <c r="W313" s="2">
        <f t="shared" ref="W313:Y313" si="4279">_xlfn.RANK.EQ(V313, V$7:V$375,0)</f>
        <v>242</v>
      </c>
      <c r="X313" s="4">
        <v>0.40699999999999997</v>
      </c>
      <c r="Y313" s="2">
        <f t="shared" si="4279"/>
        <v>287</v>
      </c>
      <c r="Z313" s="2">
        <v>0</v>
      </c>
      <c r="AA313" s="2">
        <f t="shared" ref="AA313:AC313" si="4280">_xlfn.RANK.EQ(Z313, Z$7:Z$375,0)</f>
        <v>329</v>
      </c>
      <c r="AB313" s="2">
        <v>0</v>
      </c>
      <c r="AC313" s="2">
        <f t="shared" si="4280"/>
        <v>360</v>
      </c>
      <c r="AD313" s="4">
        <v>0</v>
      </c>
      <c r="AE313" s="2">
        <f t="shared" ref="AE313:AG313" si="4281">_xlfn.RANK.EQ(AD313, AD$7:AD$375,0)</f>
        <v>329</v>
      </c>
      <c r="AF313" s="2">
        <v>9</v>
      </c>
      <c r="AG313" s="2">
        <f t="shared" si="4281"/>
        <v>278</v>
      </c>
      <c r="AH313" s="2">
        <v>19</v>
      </c>
      <c r="AI313" s="2">
        <f t="shared" ref="AI313:AK313" si="4282">_xlfn.RANK.EQ(AH313, AH$7:AH$375,0)</f>
        <v>247</v>
      </c>
      <c r="AJ313" s="4">
        <v>0.47399999999999998</v>
      </c>
      <c r="AK313" s="2">
        <f t="shared" si="4282"/>
        <v>332</v>
      </c>
      <c r="AL313" s="2">
        <v>23</v>
      </c>
      <c r="AM313" s="2">
        <f t="shared" ref="AM313:AO313" si="4283">_xlfn.RANK.EQ(AL313, AL$7:AL$375,0)</f>
        <v>185</v>
      </c>
      <c r="AN313" s="2">
        <v>29</v>
      </c>
      <c r="AO313" s="2">
        <f t="shared" si="4283"/>
        <v>263</v>
      </c>
      <c r="AP313" s="2">
        <v>52</v>
      </c>
      <c r="AQ313" s="2">
        <f t="shared" ref="AQ313:AS313" si="4284">_xlfn.RANK.EQ(AP313, AP$7:AP$375,0)</f>
        <v>244</v>
      </c>
      <c r="AR313" s="2">
        <v>6</v>
      </c>
      <c r="AS313" s="2">
        <f t="shared" si="4284"/>
        <v>321</v>
      </c>
      <c r="AT313" s="2">
        <v>18</v>
      </c>
      <c r="AU313" s="2">
        <f t="shared" ref="AU313:AW313" si="4285">_xlfn.RANK.EQ(AT313, AT$7:AT$375,0)</f>
        <v>262</v>
      </c>
      <c r="AV313" s="2">
        <v>6</v>
      </c>
      <c r="AW313" s="2">
        <f t="shared" si="4285"/>
        <v>293</v>
      </c>
      <c r="AX313" s="2">
        <v>10</v>
      </c>
      <c r="AY313" s="2">
        <f t="shared" ref="AY313:BA313" si="4286">_xlfn.RANK.EQ(AX313, AX$7:AX$375,0)</f>
        <v>103</v>
      </c>
      <c r="AZ313" s="2">
        <v>6</v>
      </c>
      <c r="BA313" s="2">
        <f t="shared" si="4286"/>
        <v>214</v>
      </c>
      <c r="BB313" s="2">
        <v>48</v>
      </c>
      <c r="BC313" s="2">
        <f t="shared" ref="BC313:BE313" si="4287">_xlfn.RANK.EQ(BB313, BB$7:BB$375,0)</f>
        <v>268</v>
      </c>
      <c r="BD313" s="2">
        <v>19</v>
      </c>
      <c r="BE313" s="2">
        <f t="shared" si="4287"/>
        <v>271</v>
      </c>
      <c r="BF313" s="2">
        <v>31</v>
      </c>
      <c r="BG313" s="2">
        <f t="shared" ref="BG313:BI313" si="4288">_xlfn.RANK.EQ(BF313, BF$7:BF$375,0)</f>
        <v>293</v>
      </c>
      <c r="BH313" s="2">
        <v>-138</v>
      </c>
      <c r="BI313" s="2">
        <f t="shared" si="4288"/>
        <v>313</v>
      </c>
    </row>
    <row r="314" spans="1:61" x14ac:dyDescent="0.55000000000000004">
      <c r="A314" s="2">
        <v>308</v>
      </c>
      <c r="B314" s="2" t="s">
        <v>364</v>
      </c>
      <c r="C314" s="2" t="s">
        <v>44</v>
      </c>
      <c r="D314" s="2">
        <v>37</v>
      </c>
      <c r="E314" s="2">
        <f t="shared" si="3588"/>
        <v>256</v>
      </c>
      <c r="F314" s="2">
        <v>1</v>
      </c>
      <c r="G314" s="2">
        <f t="shared" ref="G314:I314" si="4289">_xlfn.RANK.EQ(F314, F$7:F$375,0)</f>
        <v>272</v>
      </c>
      <c r="H314" s="3">
        <v>12.282638888888888</v>
      </c>
      <c r="I314" s="2">
        <f t="shared" si="4289"/>
        <v>286</v>
      </c>
      <c r="J314" s="5">
        <v>0.33194444444444443</v>
      </c>
      <c r="K314" s="2">
        <f t="shared" ref="K314:M314" si="4290">_xlfn.RANK.EQ(J314, J$7:J$375,0)</f>
        <v>299</v>
      </c>
      <c r="L314" s="2">
        <v>50</v>
      </c>
      <c r="M314" s="2">
        <f t="shared" si="4290"/>
        <v>308</v>
      </c>
      <c r="N314" s="2">
        <v>14</v>
      </c>
      <c r="O314" s="2">
        <f t="shared" ref="O314:Q314" si="4291">_xlfn.RANK.EQ(N314, N$7:N$375,0)</f>
        <v>315</v>
      </c>
      <c r="P314" s="2">
        <v>47</v>
      </c>
      <c r="Q314" s="2">
        <f t="shared" si="4291"/>
        <v>307</v>
      </c>
      <c r="R314" s="4">
        <v>0.29799999999999999</v>
      </c>
      <c r="S314" s="2">
        <f t="shared" ref="S314:U314" si="4292">_xlfn.RANK.EQ(R314, R$7:R$375,0)</f>
        <v>334</v>
      </c>
      <c r="T314" s="2">
        <v>7</v>
      </c>
      <c r="U314" s="2">
        <f t="shared" si="4292"/>
        <v>305</v>
      </c>
      <c r="V314" s="2">
        <v>16</v>
      </c>
      <c r="W314" s="2">
        <f t="shared" ref="W314:Y314" si="4293">_xlfn.RANK.EQ(V314, V$7:V$375,0)</f>
        <v>309</v>
      </c>
      <c r="X314" s="4">
        <v>0.438</v>
      </c>
      <c r="Y314" s="2">
        <f t="shared" si="4293"/>
        <v>256</v>
      </c>
      <c r="Z314" s="2">
        <v>7</v>
      </c>
      <c r="AA314" s="2">
        <f t="shared" ref="AA314:AC314" si="4294">_xlfn.RANK.EQ(Z314, Z$7:Z$375,0)</f>
        <v>269</v>
      </c>
      <c r="AB314" s="2">
        <v>31</v>
      </c>
      <c r="AC314" s="2">
        <f t="shared" si="4294"/>
        <v>263</v>
      </c>
      <c r="AD314" s="4">
        <v>0.22600000000000001</v>
      </c>
      <c r="AE314" s="2">
        <f t="shared" ref="AE314:AG314" si="4295">_xlfn.RANK.EQ(AD314, AD$7:AD$375,0)</f>
        <v>284</v>
      </c>
      <c r="AF314" s="2">
        <v>15</v>
      </c>
      <c r="AG314" s="2">
        <f t="shared" si="4295"/>
        <v>237</v>
      </c>
      <c r="AH314" s="2">
        <v>19</v>
      </c>
      <c r="AI314" s="2">
        <f t="shared" ref="AI314:AK314" si="4296">_xlfn.RANK.EQ(AH314, AH$7:AH$375,0)</f>
        <v>247</v>
      </c>
      <c r="AJ314" s="4">
        <v>0.78900000000000003</v>
      </c>
      <c r="AK314" s="2">
        <f t="shared" si="4296"/>
        <v>100</v>
      </c>
      <c r="AL314" s="2">
        <v>8</v>
      </c>
      <c r="AM314" s="2">
        <f t="shared" ref="AM314:AO314" si="4297">_xlfn.RANK.EQ(AL314, AL$7:AL$375,0)</f>
        <v>286</v>
      </c>
      <c r="AN314" s="2">
        <v>10</v>
      </c>
      <c r="AO314" s="2">
        <f t="shared" si="4297"/>
        <v>311</v>
      </c>
      <c r="AP314" s="2">
        <v>18</v>
      </c>
      <c r="AQ314" s="2">
        <f t="shared" ref="AQ314:AS314" si="4298">_xlfn.RANK.EQ(AP314, AP$7:AP$375,0)</f>
        <v>306</v>
      </c>
      <c r="AR314" s="2">
        <v>12</v>
      </c>
      <c r="AS314" s="2">
        <f t="shared" si="4298"/>
        <v>302</v>
      </c>
      <c r="AT314" s="2">
        <v>7</v>
      </c>
      <c r="AU314" s="2">
        <f t="shared" ref="AU314:AW314" si="4299">_xlfn.RANK.EQ(AT314, AT$7:AT$375,0)</f>
        <v>319</v>
      </c>
      <c r="AV314" s="2">
        <v>1</v>
      </c>
      <c r="AW314" s="2">
        <f t="shared" si="4299"/>
        <v>335</v>
      </c>
      <c r="AX314" s="2">
        <v>0</v>
      </c>
      <c r="AY314" s="2">
        <f t="shared" ref="AY314:BA314" si="4300">_xlfn.RANK.EQ(AX314, AX$7:AX$375,0)</f>
        <v>298</v>
      </c>
      <c r="AZ314" s="2">
        <v>1</v>
      </c>
      <c r="BA314" s="2">
        <f t="shared" si="4300"/>
        <v>308</v>
      </c>
      <c r="BB314" s="2">
        <v>37</v>
      </c>
      <c r="BC314" s="2">
        <f t="shared" ref="BC314:BE314" si="4301">_xlfn.RANK.EQ(BB314, BB$7:BB$375,0)</f>
        <v>289</v>
      </c>
      <c r="BD314" s="2">
        <v>12</v>
      </c>
      <c r="BE314" s="2">
        <f t="shared" si="4301"/>
        <v>293</v>
      </c>
      <c r="BF314" s="2">
        <v>11</v>
      </c>
      <c r="BG314" s="2">
        <f t="shared" ref="BG314:BI314" si="4302">_xlfn.RANK.EQ(BF314, BF$7:BF$375,0)</f>
        <v>323</v>
      </c>
      <c r="BH314" s="2">
        <v>-66</v>
      </c>
      <c r="BI314" s="2">
        <f t="shared" si="4302"/>
        <v>257</v>
      </c>
    </row>
    <row r="315" spans="1:61" x14ac:dyDescent="0.55000000000000004">
      <c r="A315" s="2">
        <v>309</v>
      </c>
      <c r="B315" s="2" t="s">
        <v>365</v>
      </c>
      <c r="C315" s="2" t="s">
        <v>89</v>
      </c>
      <c r="D315" s="2">
        <v>37</v>
      </c>
      <c r="E315" s="2">
        <f t="shared" si="3588"/>
        <v>256</v>
      </c>
      <c r="F315" s="2">
        <v>0</v>
      </c>
      <c r="G315" s="2">
        <f t="shared" ref="G315:I315" si="4303">_xlfn.RANK.EQ(F315, F$7:F$375,0)</f>
        <v>291</v>
      </c>
      <c r="H315" s="3">
        <v>7.5222222222222221</v>
      </c>
      <c r="I315" s="2">
        <f t="shared" si="4303"/>
        <v>310</v>
      </c>
      <c r="J315" s="5">
        <v>0.20277777777777778</v>
      </c>
      <c r="K315" s="2">
        <f t="shared" ref="K315:M315" si="4304">_xlfn.RANK.EQ(J315, J$7:J$375,0)</f>
        <v>325</v>
      </c>
      <c r="L315" s="2">
        <v>47</v>
      </c>
      <c r="M315" s="2">
        <f t="shared" si="4304"/>
        <v>309</v>
      </c>
      <c r="N315" s="2">
        <v>16</v>
      </c>
      <c r="O315" s="2">
        <f t="shared" ref="O315:Q315" si="4305">_xlfn.RANK.EQ(N315, N$7:N$375,0)</f>
        <v>310</v>
      </c>
      <c r="P315" s="2">
        <v>46</v>
      </c>
      <c r="Q315" s="2">
        <f t="shared" si="4305"/>
        <v>309</v>
      </c>
      <c r="R315" s="4">
        <v>0.34799999999999998</v>
      </c>
      <c r="S315" s="2">
        <f t="shared" ref="S315:U315" si="4306">_xlfn.RANK.EQ(R315, R$7:R$375,0)</f>
        <v>281</v>
      </c>
      <c r="T315" s="2">
        <v>7</v>
      </c>
      <c r="U315" s="2">
        <f t="shared" si="4306"/>
        <v>305</v>
      </c>
      <c r="V315" s="2">
        <v>19</v>
      </c>
      <c r="W315" s="2">
        <f t="shared" ref="W315:Y315" si="4307">_xlfn.RANK.EQ(V315, V$7:V$375,0)</f>
        <v>303</v>
      </c>
      <c r="X315" s="4">
        <v>0.36799999999999999</v>
      </c>
      <c r="Y315" s="2">
        <f t="shared" si="4307"/>
        <v>317</v>
      </c>
      <c r="Z315" s="2">
        <v>9</v>
      </c>
      <c r="AA315" s="2">
        <f t="shared" ref="AA315:AC315" si="4308">_xlfn.RANK.EQ(Z315, Z$7:Z$375,0)</f>
        <v>262</v>
      </c>
      <c r="AB315" s="2">
        <v>27</v>
      </c>
      <c r="AC315" s="2">
        <f t="shared" si="4308"/>
        <v>274</v>
      </c>
      <c r="AD315" s="4">
        <v>0.33300000000000002</v>
      </c>
      <c r="AE315" s="2">
        <f t="shared" ref="AE315:AG315" si="4309">_xlfn.RANK.EQ(AD315, AD$7:AD$375,0)</f>
        <v>149</v>
      </c>
      <c r="AF315" s="2">
        <v>6</v>
      </c>
      <c r="AG315" s="2">
        <f t="shared" si="4309"/>
        <v>292</v>
      </c>
      <c r="AH315" s="2">
        <v>8</v>
      </c>
      <c r="AI315" s="2">
        <f t="shared" ref="AI315:AK315" si="4310">_xlfn.RANK.EQ(AH315, AH$7:AH$375,0)</f>
        <v>300</v>
      </c>
      <c r="AJ315" s="4">
        <v>0.75</v>
      </c>
      <c r="AK315" s="2">
        <f t="shared" si="4310"/>
        <v>148</v>
      </c>
      <c r="AL315" s="2">
        <v>3</v>
      </c>
      <c r="AM315" s="2">
        <f t="shared" ref="AM315:AO315" si="4311">_xlfn.RANK.EQ(AL315, AL$7:AL$375,0)</f>
        <v>319</v>
      </c>
      <c r="AN315" s="2">
        <v>8</v>
      </c>
      <c r="AO315" s="2">
        <f t="shared" si="4311"/>
        <v>318</v>
      </c>
      <c r="AP315" s="2">
        <v>11</v>
      </c>
      <c r="AQ315" s="2">
        <f t="shared" ref="AQ315:AS315" si="4312">_xlfn.RANK.EQ(AP315, AP$7:AP$375,0)</f>
        <v>323</v>
      </c>
      <c r="AR315" s="2">
        <v>15</v>
      </c>
      <c r="AS315" s="2">
        <f t="shared" si="4312"/>
        <v>293</v>
      </c>
      <c r="AT315" s="2">
        <v>16</v>
      </c>
      <c r="AU315" s="2">
        <f t="shared" ref="AU315:AW315" si="4313">_xlfn.RANK.EQ(AT315, AT$7:AT$375,0)</f>
        <v>278</v>
      </c>
      <c r="AV315" s="2">
        <v>2</v>
      </c>
      <c r="AW315" s="2">
        <f t="shared" si="4313"/>
        <v>327</v>
      </c>
      <c r="AX315" s="2">
        <v>0</v>
      </c>
      <c r="AY315" s="2">
        <f t="shared" ref="AY315:BA315" si="4314">_xlfn.RANK.EQ(AX315, AX$7:AX$375,0)</f>
        <v>298</v>
      </c>
      <c r="AZ315" s="2">
        <v>0</v>
      </c>
      <c r="BA315" s="2">
        <f t="shared" si="4314"/>
        <v>337</v>
      </c>
      <c r="BB315" s="2">
        <v>33</v>
      </c>
      <c r="BC315" s="2">
        <f t="shared" ref="BC315:BE315" si="4315">_xlfn.RANK.EQ(BB315, BB$7:BB$375,0)</f>
        <v>295</v>
      </c>
      <c r="BD315" s="2">
        <v>17</v>
      </c>
      <c r="BE315" s="2">
        <f t="shared" si="4315"/>
        <v>275</v>
      </c>
      <c r="BF315" s="2">
        <v>11</v>
      </c>
      <c r="BG315" s="2">
        <f t="shared" ref="BG315:BI315" si="4316">_xlfn.RANK.EQ(BF315, BF$7:BF$375,0)</f>
        <v>323</v>
      </c>
      <c r="BH315" s="2">
        <v>6</v>
      </c>
      <c r="BI315" s="2">
        <f t="shared" si="4316"/>
        <v>135</v>
      </c>
    </row>
    <row r="316" spans="1:61" x14ac:dyDescent="0.55000000000000004">
      <c r="A316" s="2">
        <v>310</v>
      </c>
      <c r="B316" s="2" t="s">
        <v>366</v>
      </c>
      <c r="C316" s="2" t="s">
        <v>57</v>
      </c>
      <c r="D316" s="2">
        <v>29</v>
      </c>
      <c r="E316" s="2">
        <f t="shared" si="3588"/>
        <v>288</v>
      </c>
      <c r="F316" s="2">
        <v>16</v>
      </c>
      <c r="G316" s="2">
        <f t="shared" ref="G316:I316" si="4317">_xlfn.RANK.EQ(F316, F$7:F$375,0)</f>
        <v>173</v>
      </c>
      <c r="H316" s="3">
        <v>10.168055555555556</v>
      </c>
      <c r="I316" s="2">
        <f t="shared" si="4317"/>
        <v>298</v>
      </c>
      <c r="J316" s="5">
        <v>0.35</v>
      </c>
      <c r="K316" s="2">
        <f t="shared" ref="K316:M316" si="4318">_xlfn.RANK.EQ(J316, J$7:J$375,0)</f>
        <v>293</v>
      </c>
      <c r="L316" s="2">
        <v>46</v>
      </c>
      <c r="M316" s="2">
        <f t="shared" si="4318"/>
        <v>310</v>
      </c>
      <c r="N316" s="2">
        <v>16</v>
      </c>
      <c r="O316" s="2">
        <f t="shared" ref="O316:Q316" si="4319">_xlfn.RANK.EQ(N316, N$7:N$375,0)</f>
        <v>310</v>
      </c>
      <c r="P316" s="2">
        <v>57</v>
      </c>
      <c r="Q316" s="2">
        <f t="shared" si="4319"/>
        <v>300</v>
      </c>
      <c r="R316" s="4">
        <v>0.28100000000000003</v>
      </c>
      <c r="S316" s="2">
        <f t="shared" ref="S316:U316" si="4320">_xlfn.RANK.EQ(R316, R$7:R$375,0)</f>
        <v>341</v>
      </c>
      <c r="T316" s="2">
        <v>5</v>
      </c>
      <c r="U316" s="2">
        <f t="shared" si="4320"/>
        <v>319</v>
      </c>
      <c r="V316" s="2">
        <v>16</v>
      </c>
      <c r="W316" s="2">
        <f t="shared" ref="W316:Y316" si="4321">_xlfn.RANK.EQ(V316, V$7:V$375,0)</f>
        <v>309</v>
      </c>
      <c r="X316" s="4">
        <v>0.313</v>
      </c>
      <c r="Y316" s="2">
        <f t="shared" si="4321"/>
        <v>343</v>
      </c>
      <c r="Z316" s="2">
        <v>11</v>
      </c>
      <c r="AA316" s="2">
        <f t="shared" ref="AA316:AC316" si="4322">_xlfn.RANK.EQ(Z316, Z$7:Z$375,0)</f>
        <v>251</v>
      </c>
      <c r="AB316" s="2">
        <v>41</v>
      </c>
      <c r="AC316" s="2">
        <f t="shared" si="4322"/>
        <v>250</v>
      </c>
      <c r="AD316" s="4">
        <v>0.26800000000000002</v>
      </c>
      <c r="AE316" s="2">
        <f t="shared" ref="AE316:AG316" si="4323">_xlfn.RANK.EQ(AD316, AD$7:AD$375,0)</f>
        <v>254</v>
      </c>
      <c r="AF316" s="2">
        <v>3</v>
      </c>
      <c r="AG316" s="2">
        <f t="shared" si="4323"/>
        <v>314</v>
      </c>
      <c r="AH316" s="2">
        <v>4</v>
      </c>
      <c r="AI316" s="2">
        <f t="shared" ref="AI316:AK316" si="4324">_xlfn.RANK.EQ(AH316, AH$7:AH$375,0)</f>
        <v>321</v>
      </c>
      <c r="AJ316" s="4">
        <v>0.75</v>
      </c>
      <c r="AK316" s="2">
        <f t="shared" si="4324"/>
        <v>148</v>
      </c>
      <c r="AL316" s="2">
        <v>3</v>
      </c>
      <c r="AM316" s="2">
        <f t="shared" ref="AM316:AO316" si="4325">_xlfn.RANK.EQ(AL316, AL$7:AL$375,0)</f>
        <v>319</v>
      </c>
      <c r="AN316" s="2">
        <v>16</v>
      </c>
      <c r="AO316" s="2">
        <f t="shared" si="4325"/>
        <v>299</v>
      </c>
      <c r="AP316" s="2">
        <v>19</v>
      </c>
      <c r="AQ316" s="2">
        <f t="shared" ref="AQ316:AS316" si="4326">_xlfn.RANK.EQ(AP316, AP$7:AP$375,0)</f>
        <v>304</v>
      </c>
      <c r="AR316" s="2">
        <v>22</v>
      </c>
      <c r="AS316" s="2">
        <f t="shared" si="4326"/>
        <v>272</v>
      </c>
      <c r="AT316" s="2">
        <v>11</v>
      </c>
      <c r="AU316" s="2">
        <f t="shared" ref="AU316:AW316" si="4327">_xlfn.RANK.EQ(AT316, AT$7:AT$375,0)</f>
        <v>301</v>
      </c>
      <c r="AV316" s="2">
        <v>5</v>
      </c>
      <c r="AW316" s="2">
        <f t="shared" si="4327"/>
        <v>303</v>
      </c>
      <c r="AX316" s="2">
        <v>0</v>
      </c>
      <c r="AY316" s="2">
        <f t="shared" ref="AY316:BA316" si="4328">_xlfn.RANK.EQ(AX316, AX$7:AX$375,0)</f>
        <v>298</v>
      </c>
      <c r="AZ316" s="2">
        <v>1</v>
      </c>
      <c r="BA316" s="2">
        <f t="shared" si="4328"/>
        <v>308</v>
      </c>
      <c r="BB316" s="2">
        <v>41</v>
      </c>
      <c r="BC316" s="2">
        <f t="shared" ref="BC316:BE316" si="4329">_xlfn.RANK.EQ(BB316, BB$7:BB$375,0)</f>
        <v>283</v>
      </c>
      <c r="BD316" s="2">
        <v>9</v>
      </c>
      <c r="BE316" s="2">
        <f t="shared" si="4329"/>
        <v>304</v>
      </c>
      <c r="BF316" s="2">
        <v>6</v>
      </c>
      <c r="BG316" s="2">
        <f t="shared" ref="BG316:BI316" si="4330">_xlfn.RANK.EQ(BF316, BF$7:BF$375,0)</f>
        <v>331</v>
      </c>
      <c r="BH316" s="2">
        <v>12</v>
      </c>
      <c r="BI316" s="2">
        <f t="shared" si="4330"/>
        <v>127</v>
      </c>
    </row>
    <row r="317" spans="1:61" x14ac:dyDescent="0.55000000000000004">
      <c r="A317" s="2">
        <v>310</v>
      </c>
      <c r="B317" s="2" t="s">
        <v>367</v>
      </c>
      <c r="C317" s="2" t="s">
        <v>42</v>
      </c>
      <c r="D317" s="2">
        <v>36</v>
      </c>
      <c r="E317" s="2">
        <f t="shared" si="3588"/>
        <v>263</v>
      </c>
      <c r="F317" s="2">
        <v>0</v>
      </c>
      <c r="G317" s="2">
        <f t="shared" ref="G317:I317" si="4331">_xlfn.RANK.EQ(F317, F$7:F$375,0)</f>
        <v>291</v>
      </c>
      <c r="H317" s="3">
        <v>6.1673611111111111</v>
      </c>
      <c r="I317" s="2">
        <f t="shared" si="4331"/>
        <v>320</v>
      </c>
      <c r="J317" s="5">
        <v>0.17083333333333334</v>
      </c>
      <c r="K317" s="2">
        <f t="shared" ref="K317:M317" si="4332">_xlfn.RANK.EQ(J317, J$7:J$375,0)</f>
        <v>334</v>
      </c>
      <c r="L317" s="2">
        <v>46</v>
      </c>
      <c r="M317" s="2">
        <f t="shared" si="4332"/>
        <v>310</v>
      </c>
      <c r="N317" s="2">
        <v>14</v>
      </c>
      <c r="O317" s="2">
        <f t="shared" ref="O317:Q317" si="4333">_xlfn.RANK.EQ(N317, N$7:N$375,0)</f>
        <v>315</v>
      </c>
      <c r="P317" s="2">
        <v>43</v>
      </c>
      <c r="Q317" s="2">
        <f t="shared" si="4333"/>
        <v>314</v>
      </c>
      <c r="R317" s="4">
        <v>0.32600000000000001</v>
      </c>
      <c r="S317" s="2">
        <f t="shared" ref="S317:U317" si="4334">_xlfn.RANK.EQ(R317, R$7:R$375,0)</f>
        <v>309</v>
      </c>
      <c r="T317" s="2">
        <v>4</v>
      </c>
      <c r="U317" s="2">
        <f t="shared" si="4334"/>
        <v>327</v>
      </c>
      <c r="V317" s="2">
        <v>10</v>
      </c>
      <c r="W317" s="2">
        <f t="shared" ref="W317:Y317" si="4335">_xlfn.RANK.EQ(V317, V$7:V$375,0)</f>
        <v>326</v>
      </c>
      <c r="X317" s="4">
        <v>0.4</v>
      </c>
      <c r="Y317" s="2">
        <f t="shared" si="4335"/>
        <v>293</v>
      </c>
      <c r="Z317" s="2">
        <v>10</v>
      </c>
      <c r="AA317" s="2">
        <f t="shared" ref="AA317:AC317" si="4336">_xlfn.RANK.EQ(Z317, Z$7:Z$375,0)</f>
        <v>254</v>
      </c>
      <c r="AB317" s="2">
        <v>33</v>
      </c>
      <c r="AC317" s="2">
        <f t="shared" si="4336"/>
        <v>261</v>
      </c>
      <c r="AD317" s="4">
        <v>0.30299999999999999</v>
      </c>
      <c r="AE317" s="2">
        <f t="shared" ref="AE317:AG317" si="4337">_xlfn.RANK.EQ(AD317, AD$7:AD$375,0)</f>
        <v>204</v>
      </c>
      <c r="AF317" s="2">
        <v>8</v>
      </c>
      <c r="AG317" s="2">
        <f t="shared" si="4337"/>
        <v>280</v>
      </c>
      <c r="AH317" s="2">
        <v>8</v>
      </c>
      <c r="AI317" s="2">
        <f t="shared" ref="AI317:AK317" si="4338">_xlfn.RANK.EQ(AH317, AH$7:AH$375,0)</f>
        <v>300</v>
      </c>
      <c r="AJ317" s="4">
        <v>1</v>
      </c>
      <c r="AK317" s="2">
        <f t="shared" si="4338"/>
        <v>1</v>
      </c>
      <c r="AL317" s="2">
        <v>3</v>
      </c>
      <c r="AM317" s="2">
        <f t="shared" ref="AM317:AO317" si="4339">_xlfn.RANK.EQ(AL317, AL$7:AL$375,0)</f>
        <v>319</v>
      </c>
      <c r="AN317" s="2">
        <v>3</v>
      </c>
      <c r="AO317" s="2">
        <f t="shared" si="4339"/>
        <v>342</v>
      </c>
      <c r="AP317" s="2">
        <v>6</v>
      </c>
      <c r="AQ317" s="2">
        <f t="shared" ref="AQ317:AS317" si="4340">_xlfn.RANK.EQ(AP317, AP$7:AP$375,0)</f>
        <v>338</v>
      </c>
      <c r="AR317" s="2">
        <v>12</v>
      </c>
      <c r="AS317" s="2">
        <f t="shared" si="4340"/>
        <v>302</v>
      </c>
      <c r="AT317" s="2">
        <v>6</v>
      </c>
      <c r="AU317" s="2">
        <f t="shared" ref="AU317:AW317" si="4341">_xlfn.RANK.EQ(AT317, AT$7:AT$375,0)</f>
        <v>323</v>
      </c>
      <c r="AV317" s="2">
        <v>0</v>
      </c>
      <c r="AW317" s="2">
        <f t="shared" si="4341"/>
        <v>352</v>
      </c>
      <c r="AX317" s="2">
        <v>0</v>
      </c>
      <c r="AY317" s="2">
        <f t="shared" ref="AY317:BA317" si="4342">_xlfn.RANK.EQ(AX317, AX$7:AX$375,0)</f>
        <v>298</v>
      </c>
      <c r="AZ317" s="2">
        <v>2</v>
      </c>
      <c r="BA317" s="2">
        <f t="shared" si="4342"/>
        <v>285</v>
      </c>
      <c r="BB317" s="2">
        <v>17</v>
      </c>
      <c r="BC317" s="2">
        <f t="shared" ref="BC317:BE317" si="4343">_xlfn.RANK.EQ(BB317, BB$7:BB$375,0)</f>
        <v>325</v>
      </c>
      <c r="BD317" s="2">
        <v>7</v>
      </c>
      <c r="BE317" s="2">
        <f t="shared" si="4343"/>
        <v>312</v>
      </c>
      <c r="BF317" s="2">
        <v>17</v>
      </c>
      <c r="BG317" s="2">
        <f t="shared" ref="BG317:BI317" si="4344">_xlfn.RANK.EQ(BF317, BF$7:BF$375,0)</f>
        <v>308</v>
      </c>
      <c r="BH317" s="2">
        <v>-68</v>
      </c>
      <c r="BI317" s="2">
        <f t="shared" si="4344"/>
        <v>259</v>
      </c>
    </row>
    <row r="318" spans="1:61" x14ac:dyDescent="0.55000000000000004">
      <c r="A318" s="2">
        <v>312</v>
      </c>
      <c r="B318" s="2" t="s">
        <v>368</v>
      </c>
      <c r="C318" s="2" t="s">
        <v>57</v>
      </c>
      <c r="D318" s="2">
        <v>23</v>
      </c>
      <c r="E318" s="2">
        <f t="shared" si="3588"/>
        <v>309</v>
      </c>
      <c r="F318" s="2">
        <v>3</v>
      </c>
      <c r="G318" s="2">
        <f t="shared" ref="G318:I318" si="4345">_xlfn.RANK.EQ(F318, F$7:F$375,0)</f>
        <v>248</v>
      </c>
      <c r="H318" s="3">
        <v>7.572222222222222</v>
      </c>
      <c r="I318" s="2">
        <f t="shared" si="4345"/>
        <v>309</v>
      </c>
      <c r="J318" s="5">
        <v>0.32916666666666666</v>
      </c>
      <c r="K318" s="2">
        <f t="shared" ref="K318:M318" si="4346">_xlfn.RANK.EQ(J318, J$7:J$375,0)</f>
        <v>300</v>
      </c>
      <c r="L318" s="2">
        <v>45</v>
      </c>
      <c r="M318" s="2">
        <f t="shared" si="4346"/>
        <v>312</v>
      </c>
      <c r="N318" s="2">
        <v>16</v>
      </c>
      <c r="O318" s="2">
        <f t="shared" ref="O318:Q318" si="4347">_xlfn.RANK.EQ(N318, N$7:N$375,0)</f>
        <v>310</v>
      </c>
      <c r="P318" s="2">
        <v>47</v>
      </c>
      <c r="Q318" s="2">
        <f t="shared" si="4347"/>
        <v>307</v>
      </c>
      <c r="R318" s="4">
        <v>0.34</v>
      </c>
      <c r="S318" s="2">
        <f t="shared" ref="S318:U318" si="4348">_xlfn.RANK.EQ(R318, R$7:R$375,0)</f>
        <v>293</v>
      </c>
      <c r="T318" s="2">
        <v>11</v>
      </c>
      <c r="U318" s="2">
        <f t="shared" si="4348"/>
        <v>291</v>
      </c>
      <c r="V318" s="2">
        <v>23</v>
      </c>
      <c r="W318" s="2">
        <f t="shared" ref="W318:Y318" si="4349">_xlfn.RANK.EQ(V318, V$7:V$375,0)</f>
        <v>294</v>
      </c>
      <c r="X318" s="4">
        <v>0.47799999999999998</v>
      </c>
      <c r="Y318" s="2">
        <f t="shared" si="4349"/>
        <v>209</v>
      </c>
      <c r="Z318" s="2">
        <v>5</v>
      </c>
      <c r="AA318" s="2">
        <f t="shared" ref="AA318:AC318" si="4350">_xlfn.RANK.EQ(Z318, Z$7:Z$375,0)</f>
        <v>280</v>
      </c>
      <c r="AB318" s="2">
        <v>24</v>
      </c>
      <c r="AC318" s="2">
        <f t="shared" si="4350"/>
        <v>280</v>
      </c>
      <c r="AD318" s="4">
        <v>0.20799999999999999</v>
      </c>
      <c r="AE318" s="2">
        <f t="shared" ref="AE318:AG318" si="4351">_xlfn.RANK.EQ(AD318, AD$7:AD$375,0)</f>
        <v>296</v>
      </c>
      <c r="AF318" s="2">
        <v>8</v>
      </c>
      <c r="AG318" s="2">
        <f t="shared" si="4351"/>
        <v>280</v>
      </c>
      <c r="AH318" s="2">
        <v>11</v>
      </c>
      <c r="AI318" s="2">
        <f t="shared" ref="AI318:AK318" si="4352">_xlfn.RANK.EQ(AH318, AH$7:AH$375,0)</f>
        <v>287</v>
      </c>
      <c r="AJ318" s="4">
        <v>0.72699999999999998</v>
      </c>
      <c r="AK318" s="2">
        <f t="shared" si="4352"/>
        <v>176</v>
      </c>
      <c r="AL318" s="2">
        <v>3</v>
      </c>
      <c r="AM318" s="2">
        <f t="shared" ref="AM318:AO318" si="4353">_xlfn.RANK.EQ(AL318, AL$7:AL$375,0)</f>
        <v>319</v>
      </c>
      <c r="AN318" s="2">
        <v>17</v>
      </c>
      <c r="AO318" s="2">
        <f t="shared" si="4353"/>
        <v>296</v>
      </c>
      <c r="AP318" s="2">
        <v>20</v>
      </c>
      <c r="AQ318" s="2">
        <f t="shared" ref="AQ318:AS318" si="4354">_xlfn.RANK.EQ(AP318, AP$7:AP$375,0)</f>
        <v>302</v>
      </c>
      <c r="AR318" s="2">
        <v>12</v>
      </c>
      <c r="AS318" s="2">
        <f t="shared" si="4354"/>
        <v>302</v>
      </c>
      <c r="AT318" s="2">
        <v>8</v>
      </c>
      <c r="AU318" s="2">
        <f t="shared" ref="AU318:AW318" si="4355">_xlfn.RANK.EQ(AT318, AT$7:AT$375,0)</f>
        <v>314</v>
      </c>
      <c r="AV318" s="2">
        <v>3</v>
      </c>
      <c r="AW318" s="2">
        <f t="shared" si="4355"/>
        <v>318</v>
      </c>
      <c r="AX318" s="2">
        <v>1</v>
      </c>
      <c r="AY318" s="2">
        <f t="shared" ref="AY318:BA318" si="4356">_xlfn.RANK.EQ(AX318, AX$7:AX$375,0)</f>
        <v>265</v>
      </c>
      <c r="AZ318" s="2">
        <v>4</v>
      </c>
      <c r="BA318" s="2">
        <f t="shared" si="4356"/>
        <v>246</v>
      </c>
      <c r="BB318" s="2">
        <v>33</v>
      </c>
      <c r="BC318" s="2">
        <f t="shared" ref="BC318:BE318" si="4357">_xlfn.RANK.EQ(BB318, BB$7:BB$375,0)</f>
        <v>295</v>
      </c>
      <c r="BD318" s="2">
        <v>13</v>
      </c>
      <c r="BE318" s="2">
        <f t="shared" si="4357"/>
        <v>290</v>
      </c>
      <c r="BF318" s="2">
        <v>15</v>
      </c>
      <c r="BG318" s="2">
        <f t="shared" ref="BG318:BI318" si="4358">_xlfn.RANK.EQ(BF318, BF$7:BF$375,0)</f>
        <v>313</v>
      </c>
      <c r="BH318" s="2">
        <v>-72</v>
      </c>
      <c r="BI318" s="2">
        <f t="shared" si="4358"/>
        <v>262</v>
      </c>
    </row>
    <row r="319" spans="1:61" x14ac:dyDescent="0.55000000000000004">
      <c r="A319" s="2">
        <v>313</v>
      </c>
      <c r="B319" s="2" t="s">
        <v>369</v>
      </c>
      <c r="C319" s="2" t="s">
        <v>52</v>
      </c>
      <c r="D319" s="2">
        <v>15</v>
      </c>
      <c r="E319" s="2">
        <f t="shared" si="3588"/>
        <v>338</v>
      </c>
      <c r="F319" s="2">
        <v>2</v>
      </c>
      <c r="G319" s="2">
        <f t="shared" ref="G319:I319" si="4359">_xlfn.RANK.EQ(F319, F$7:F$375,0)</f>
        <v>256</v>
      </c>
      <c r="H319" s="3">
        <v>4.7625000000000002</v>
      </c>
      <c r="I319" s="2">
        <f t="shared" si="4359"/>
        <v>328</v>
      </c>
      <c r="J319" s="5">
        <v>0.31736111111111109</v>
      </c>
      <c r="K319" s="2">
        <f t="shared" ref="K319:M319" si="4360">_xlfn.RANK.EQ(J319, J$7:J$375,0)</f>
        <v>302</v>
      </c>
      <c r="L319" s="2">
        <v>43</v>
      </c>
      <c r="M319" s="2">
        <f t="shared" si="4360"/>
        <v>313</v>
      </c>
      <c r="N319" s="2">
        <v>14</v>
      </c>
      <c r="O319" s="2">
        <f t="shared" ref="O319:Q319" si="4361">_xlfn.RANK.EQ(N319, N$7:N$375,0)</f>
        <v>315</v>
      </c>
      <c r="P319" s="2">
        <v>30</v>
      </c>
      <c r="Q319" s="2">
        <f t="shared" si="4361"/>
        <v>325</v>
      </c>
      <c r="R319" s="4">
        <v>0.46700000000000003</v>
      </c>
      <c r="S319" s="2">
        <f t="shared" ref="S319:U319" si="4362">_xlfn.RANK.EQ(R319, R$7:R$375,0)</f>
        <v>94</v>
      </c>
      <c r="T319" s="2">
        <v>5</v>
      </c>
      <c r="U319" s="2">
        <f t="shared" si="4362"/>
        <v>319</v>
      </c>
      <c r="V319" s="2">
        <v>10</v>
      </c>
      <c r="W319" s="2">
        <f t="shared" ref="W319:Y319" si="4363">_xlfn.RANK.EQ(V319, V$7:V$375,0)</f>
        <v>326</v>
      </c>
      <c r="X319" s="4">
        <v>0.5</v>
      </c>
      <c r="Y319" s="2">
        <f t="shared" si="4363"/>
        <v>175</v>
      </c>
      <c r="Z319" s="2">
        <v>9</v>
      </c>
      <c r="AA319" s="2">
        <f t="shared" ref="AA319:AC319" si="4364">_xlfn.RANK.EQ(Z319, Z$7:Z$375,0)</f>
        <v>262</v>
      </c>
      <c r="AB319" s="2">
        <v>20</v>
      </c>
      <c r="AC319" s="2">
        <f t="shared" si="4364"/>
        <v>286</v>
      </c>
      <c r="AD319" s="4">
        <v>0.45</v>
      </c>
      <c r="AE319" s="2">
        <f t="shared" ref="AE319:AG319" si="4365">_xlfn.RANK.EQ(AD319, AD$7:AD$375,0)</f>
        <v>18</v>
      </c>
      <c r="AF319" s="2">
        <v>6</v>
      </c>
      <c r="AG319" s="2">
        <f t="shared" si="4365"/>
        <v>292</v>
      </c>
      <c r="AH319" s="2">
        <v>6</v>
      </c>
      <c r="AI319" s="2">
        <f t="shared" ref="AI319:AK319" si="4366">_xlfn.RANK.EQ(AH319, AH$7:AH$375,0)</f>
        <v>307</v>
      </c>
      <c r="AJ319" s="4">
        <v>1</v>
      </c>
      <c r="AK319" s="2">
        <f t="shared" si="4366"/>
        <v>1</v>
      </c>
      <c r="AL319" s="2">
        <v>1</v>
      </c>
      <c r="AM319" s="2">
        <f t="shared" ref="AM319:AO319" si="4367">_xlfn.RANK.EQ(AL319, AL$7:AL$375,0)</f>
        <v>341</v>
      </c>
      <c r="AN319" s="2">
        <v>5</v>
      </c>
      <c r="AO319" s="2">
        <f t="shared" si="4367"/>
        <v>332</v>
      </c>
      <c r="AP319" s="2">
        <v>6</v>
      </c>
      <c r="AQ319" s="2">
        <f t="shared" ref="AQ319:AS319" si="4368">_xlfn.RANK.EQ(AP319, AP$7:AP$375,0)</f>
        <v>338</v>
      </c>
      <c r="AR319" s="2">
        <v>12</v>
      </c>
      <c r="AS319" s="2">
        <f t="shared" si="4368"/>
        <v>302</v>
      </c>
      <c r="AT319" s="2">
        <v>2</v>
      </c>
      <c r="AU319" s="2">
        <f t="shared" ref="AU319:AW319" si="4369">_xlfn.RANK.EQ(AT319, AT$7:AT$375,0)</f>
        <v>347</v>
      </c>
      <c r="AV319" s="2">
        <v>0</v>
      </c>
      <c r="AW319" s="2">
        <f t="shared" si="4369"/>
        <v>352</v>
      </c>
      <c r="AX319" s="2">
        <v>1</v>
      </c>
      <c r="AY319" s="2">
        <f t="shared" ref="AY319:BA319" si="4370">_xlfn.RANK.EQ(AX319, AX$7:AX$375,0)</f>
        <v>265</v>
      </c>
      <c r="AZ319" s="2">
        <v>0</v>
      </c>
      <c r="BA319" s="2">
        <f t="shared" si="4370"/>
        <v>337</v>
      </c>
      <c r="BB319" s="2">
        <v>10</v>
      </c>
      <c r="BC319" s="2">
        <f t="shared" ref="BC319:BE319" si="4371">_xlfn.RANK.EQ(BB319, BB$7:BB$375,0)</f>
        <v>337</v>
      </c>
      <c r="BD319" s="2">
        <v>5</v>
      </c>
      <c r="BE319" s="2">
        <f t="shared" si="4371"/>
        <v>324</v>
      </c>
      <c r="BF319" s="2">
        <v>39</v>
      </c>
      <c r="BG319" s="2">
        <f t="shared" ref="BG319:BI319" si="4372">_xlfn.RANK.EQ(BF319, BF$7:BF$375,0)</f>
        <v>286</v>
      </c>
      <c r="BH319" s="2">
        <v>16</v>
      </c>
      <c r="BI319" s="2">
        <f t="shared" si="4372"/>
        <v>124</v>
      </c>
    </row>
    <row r="320" spans="1:61" x14ac:dyDescent="0.55000000000000004">
      <c r="A320" s="2">
        <v>314</v>
      </c>
      <c r="B320" s="2" t="s">
        <v>370</v>
      </c>
      <c r="C320" s="2" t="s">
        <v>69</v>
      </c>
      <c r="D320" s="2">
        <v>28</v>
      </c>
      <c r="E320" s="2">
        <f t="shared" si="3588"/>
        <v>289</v>
      </c>
      <c r="F320" s="2">
        <v>1</v>
      </c>
      <c r="G320" s="2">
        <f t="shared" ref="G320:I320" si="4373">_xlfn.RANK.EQ(F320, F$7:F$375,0)</f>
        <v>272</v>
      </c>
      <c r="H320" s="3">
        <v>9.1854166666666668</v>
      </c>
      <c r="I320" s="2">
        <f t="shared" si="4373"/>
        <v>302</v>
      </c>
      <c r="J320" s="5">
        <v>0.32777777777777778</v>
      </c>
      <c r="K320" s="2">
        <f t="shared" ref="K320:M320" si="4374">_xlfn.RANK.EQ(J320, J$7:J$375,0)</f>
        <v>301</v>
      </c>
      <c r="L320" s="2">
        <v>41</v>
      </c>
      <c r="M320" s="2">
        <f t="shared" si="4374"/>
        <v>314</v>
      </c>
      <c r="N320" s="2">
        <v>16</v>
      </c>
      <c r="O320" s="2">
        <f t="shared" ref="O320:Q320" si="4375">_xlfn.RANK.EQ(N320, N$7:N$375,0)</f>
        <v>310</v>
      </c>
      <c r="P320" s="2">
        <v>50</v>
      </c>
      <c r="Q320" s="2">
        <f t="shared" si="4375"/>
        <v>304</v>
      </c>
      <c r="R320" s="4">
        <v>0.32</v>
      </c>
      <c r="S320" s="2">
        <f t="shared" ref="S320:U320" si="4376">_xlfn.RANK.EQ(R320, R$7:R$375,0)</f>
        <v>313</v>
      </c>
      <c r="T320" s="2">
        <v>12</v>
      </c>
      <c r="U320" s="2">
        <f t="shared" si="4376"/>
        <v>288</v>
      </c>
      <c r="V320" s="2">
        <v>30</v>
      </c>
      <c r="W320" s="2">
        <f t="shared" ref="W320:Y320" si="4377">_xlfn.RANK.EQ(V320, V$7:V$375,0)</f>
        <v>284</v>
      </c>
      <c r="X320" s="4">
        <v>0.4</v>
      </c>
      <c r="Y320" s="2">
        <f t="shared" si="4377"/>
        <v>293</v>
      </c>
      <c r="Z320" s="2">
        <v>4</v>
      </c>
      <c r="AA320" s="2">
        <f t="shared" ref="AA320:AC320" si="4378">_xlfn.RANK.EQ(Z320, Z$7:Z$375,0)</f>
        <v>284</v>
      </c>
      <c r="AB320" s="2">
        <v>20</v>
      </c>
      <c r="AC320" s="2">
        <f t="shared" si="4378"/>
        <v>286</v>
      </c>
      <c r="AD320" s="4">
        <v>0.2</v>
      </c>
      <c r="AE320" s="2">
        <f t="shared" ref="AE320:AG320" si="4379">_xlfn.RANK.EQ(AD320, AD$7:AD$375,0)</f>
        <v>303</v>
      </c>
      <c r="AF320" s="2">
        <v>5</v>
      </c>
      <c r="AG320" s="2">
        <f t="shared" si="4379"/>
        <v>297</v>
      </c>
      <c r="AH320" s="2">
        <v>9</v>
      </c>
      <c r="AI320" s="2">
        <f t="shared" ref="AI320:AK320" si="4380">_xlfn.RANK.EQ(AH320, AH$7:AH$375,0)</f>
        <v>298</v>
      </c>
      <c r="AJ320" s="4">
        <v>0.55600000000000005</v>
      </c>
      <c r="AK320" s="2">
        <f t="shared" si="4380"/>
        <v>294</v>
      </c>
      <c r="AL320" s="2">
        <v>13</v>
      </c>
      <c r="AM320" s="2">
        <f t="shared" ref="AM320:AO320" si="4381">_xlfn.RANK.EQ(AL320, AL$7:AL$375,0)</f>
        <v>256</v>
      </c>
      <c r="AN320" s="2">
        <v>20</v>
      </c>
      <c r="AO320" s="2">
        <f t="shared" si="4381"/>
        <v>286</v>
      </c>
      <c r="AP320" s="2">
        <v>33</v>
      </c>
      <c r="AQ320" s="2">
        <f t="shared" ref="AQ320:AS320" si="4382">_xlfn.RANK.EQ(AP320, AP$7:AP$375,0)</f>
        <v>282</v>
      </c>
      <c r="AR320" s="2">
        <v>11</v>
      </c>
      <c r="AS320" s="2">
        <f t="shared" si="4382"/>
        <v>309</v>
      </c>
      <c r="AT320" s="2">
        <v>8</v>
      </c>
      <c r="AU320" s="2">
        <f t="shared" ref="AU320:AW320" si="4383">_xlfn.RANK.EQ(AT320, AT$7:AT$375,0)</f>
        <v>314</v>
      </c>
      <c r="AV320" s="2">
        <v>11</v>
      </c>
      <c r="AW320" s="2">
        <f t="shared" si="4383"/>
        <v>266</v>
      </c>
      <c r="AX320" s="2">
        <v>1</v>
      </c>
      <c r="AY320" s="2">
        <f t="shared" ref="AY320:BA320" si="4384">_xlfn.RANK.EQ(AX320, AX$7:AX$375,0)</f>
        <v>265</v>
      </c>
      <c r="AZ320" s="2">
        <v>4</v>
      </c>
      <c r="BA320" s="2">
        <f t="shared" si="4384"/>
        <v>246</v>
      </c>
      <c r="BB320" s="2">
        <v>32</v>
      </c>
      <c r="BC320" s="2">
        <f t="shared" ref="BC320:BE320" si="4385">_xlfn.RANK.EQ(BB320, BB$7:BB$375,0)</f>
        <v>299</v>
      </c>
      <c r="BD320" s="2">
        <v>8</v>
      </c>
      <c r="BE320" s="2">
        <f t="shared" si="4385"/>
        <v>309</v>
      </c>
      <c r="BF320" s="2">
        <v>23</v>
      </c>
      <c r="BG320" s="2">
        <f t="shared" ref="BG320:BI320" si="4386">_xlfn.RANK.EQ(BF320, BF$7:BF$375,0)</f>
        <v>301</v>
      </c>
      <c r="BH320" s="2">
        <v>-73</v>
      </c>
      <c r="BI320" s="2">
        <f t="shared" si="4386"/>
        <v>263</v>
      </c>
    </row>
    <row r="321" spans="1:61" x14ac:dyDescent="0.55000000000000004">
      <c r="A321" s="2">
        <v>314</v>
      </c>
      <c r="B321" s="2" t="s">
        <v>371</v>
      </c>
      <c r="C321" s="2" t="s">
        <v>32</v>
      </c>
      <c r="D321" s="2">
        <v>52</v>
      </c>
      <c r="E321" s="2">
        <f t="shared" si="3588"/>
        <v>176</v>
      </c>
      <c r="F321" s="2">
        <v>0</v>
      </c>
      <c r="G321" s="2">
        <f t="shared" ref="G321:I321" si="4387">_xlfn.RANK.EQ(F321, F$7:F$375,0)</f>
        <v>291</v>
      </c>
      <c r="H321" s="3">
        <v>15.343055555555555</v>
      </c>
      <c r="I321" s="2">
        <f t="shared" si="4387"/>
        <v>275</v>
      </c>
      <c r="J321" s="5">
        <v>0.29444444444444445</v>
      </c>
      <c r="K321" s="2">
        <f t="shared" ref="K321:M321" si="4388">_xlfn.RANK.EQ(J321, J$7:J$375,0)</f>
        <v>308</v>
      </c>
      <c r="L321" s="2">
        <v>41</v>
      </c>
      <c r="M321" s="2">
        <f t="shared" si="4388"/>
        <v>314</v>
      </c>
      <c r="N321" s="2">
        <v>14</v>
      </c>
      <c r="O321" s="2">
        <f t="shared" ref="O321:Q321" si="4389">_xlfn.RANK.EQ(N321, N$7:N$375,0)</f>
        <v>315</v>
      </c>
      <c r="P321" s="2">
        <v>49</v>
      </c>
      <c r="Q321" s="2">
        <f t="shared" si="4389"/>
        <v>305</v>
      </c>
      <c r="R321" s="4">
        <v>0.28599999999999998</v>
      </c>
      <c r="S321" s="2">
        <f t="shared" ref="S321:U321" si="4390">_xlfn.RANK.EQ(R321, R$7:R$375,0)</f>
        <v>340</v>
      </c>
      <c r="T321" s="2">
        <v>6</v>
      </c>
      <c r="U321" s="2">
        <f t="shared" si="4390"/>
        <v>314</v>
      </c>
      <c r="V321" s="2">
        <v>22</v>
      </c>
      <c r="W321" s="2">
        <f t="shared" ref="W321:Y321" si="4391">_xlfn.RANK.EQ(V321, V$7:V$375,0)</f>
        <v>298</v>
      </c>
      <c r="X321" s="4">
        <v>0.27300000000000002</v>
      </c>
      <c r="Y321" s="2">
        <f t="shared" si="4391"/>
        <v>347</v>
      </c>
      <c r="Z321" s="2">
        <v>8</v>
      </c>
      <c r="AA321" s="2">
        <f t="shared" ref="AA321:AC321" si="4392">_xlfn.RANK.EQ(Z321, Z$7:Z$375,0)</f>
        <v>266</v>
      </c>
      <c r="AB321" s="2">
        <v>27</v>
      </c>
      <c r="AC321" s="2">
        <f t="shared" si="4392"/>
        <v>274</v>
      </c>
      <c r="AD321" s="4">
        <v>0.29599999999999999</v>
      </c>
      <c r="AE321" s="2">
        <f t="shared" ref="AE321:AG321" si="4393">_xlfn.RANK.EQ(AD321, AD$7:AD$375,0)</f>
        <v>217</v>
      </c>
      <c r="AF321" s="2">
        <v>5</v>
      </c>
      <c r="AG321" s="2">
        <f t="shared" si="4393"/>
        <v>297</v>
      </c>
      <c r="AH321" s="2">
        <v>6</v>
      </c>
      <c r="AI321" s="2">
        <f t="shared" ref="AI321:AK321" si="4394">_xlfn.RANK.EQ(AH321, AH$7:AH$375,0)</f>
        <v>307</v>
      </c>
      <c r="AJ321" s="4">
        <v>0.83299999999999996</v>
      </c>
      <c r="AK321" s="2">
        <f t="shared" si="4394"/>
        <v>50</v>
      </c>
      <c r="AL321" s="2">
        <v>13</v>
      </c>
      <c r="AM321" s="2">
        <f t="shared" ref="AM321:AO321" si="4395">_xlfn.RANK.EQ(AL321, AL$7:AL$375,0)</f>
        <v>256</v>
      </c>
      <c r="AN321" s="2">
        <v>32</v>
      </c>
      <c r="AO321" s="2">
        <f t="shared" si="4395"/>
        <v>253</v>
      </c>
      <c r="AP321" s="2">
        <v>45</v>
      </c>
      <c r="AQ321" s="2">
        <f t="shared" ref="AQ321:AS321" si="4396">_xlfn.RANK.EQ(AP321, AP$7:AP$375,0)</f>
        <v>257</v>
      </c>
      <c r="AR321" s="2">
        <v>12</v>
      </c>
      <c r="AS321" s="2">
        <f t="shared" si="4396"/>
        <v>302</v>
      </c>
      <c r="AT321" s="2">
        <v>14</v>
      </c>
      <c r="AU321" s="2">
        <f t="shared" ref="AU321:AW321" si="4397">_xlfn.RANK.EQ(AT321, AT$7:AT$375,0)</f>
        <v>288</v>
      </c>
      <c r="AV321" s="2">
        <v>8</v>
      </c>
      <c r="AW321" s="2">
        <f t="shared" si="4397"/>
        <v>281</v>
      </c>
      <c r="AX321" s="2">
        <v>4</v>
      </c>
      <c r="AY321" s="2">
        <f t="shared" ref="AY321:BA321" si="4398">_xlfn.RANK.EQ(AX321, AX$7:AX$375,0)</f>
        <v>186</v>
      </c>
      <c r="AZ321" s="2">
        <v>5</v>
      </c>
      <c r="BA321" s="2">
        <f t="shared" si="4398"/>
        <v>227</v>
      </c>
      <c r="BB321" s="2">
        <v>37</v>
      </c>
      <c r="BC321" s="2">
        <f t="shared" ref="BC321:BE321" si="4399">_xlfn.RANK.EQ(BB321, BB$7:BB$375,0)</f>
        <v>289</v>
      </c>
      <c r="BD321" s="2">
        <v>6</v>
      </c>
      <c r="BE321" s="2">
        <f t="shared" si="4399"/>
        <v>317</v>
      </c>
      <c r="BF321" s="2">
        <v>24</v>
      </c>
      <c r="BG321" s="2">
        <f t="shared" ref="BG321:BI321" si="4400">_xlfn.RANK.EQ(BF321, BF$7:BF$375,0)</f>
        <v>299</v>
      </c>
      <c r="BH321" s="2">
        <v>-56</v>
      </c>
      <c r="BI321" s="2">
        <f t="shared" si="4400"/>
        <v>241</v>
      </c>
    </row>
    <row r="322" spans="1:61" x14ac:dyDescent="0.55000000000000004">
      <c r="A322" s="2">
        <v>314</v>
      </c>
      <c r="B322" s="2" t="s">
        <v>372</v>
      </c>
      <c r="C322" s="2" t="s">
        <v>48</v>
      </c>
      <c r="D322" s="2">
        <v>51</v>
      </c>
      <c r="E322" s="2">
        <f t="shared" si="3588"/>
        <v>183</v>
      </c>
      <c r="F322" s="2">
        <v>1</v>
      </c>
      <c r="G322" s="2">
        <f t="shared" ref="G322:I322" si="4401">_xlfn.RANK.EQ(F322, F$7:F$375,0)</f>
        <v>272</v>
      </c>
      <c r="H322" s="3">
        <v>21.493055555555557</v>
      </c>
      <c r="I322" s="2">
        <f t="shared" si="4401"/>
        <v>244</v>
      </c>
      <c r="J322" s="5">
        <v>0.42083333333333334</v>
      </c>
      <c r="K322" s="2">
        <f t="shared" ref="K322:M322" si="4402">_xlfn.RANK.EQ(J322, J$7:J$375,0)</f>
        <v>275</v>
      </c>
      <c r="L322" s="2">
        <v>41</v>
      </c>
      <c r="M322" s="2">
        <f t="shared" si="4402"/>
        <v>314</v>
      </c>
      <c r="N322" s="2">
        <v>18</v>
      </c>
      <c r="O322" s="2">
        <f t="shared" ref="O322:Q322" si="4403">_xlfn.RANK.EQ(N322, N$7:N$375,0)</f>
        <v>308</v>
      </c>
      <c r="P322" s="2">
        <v>34</v>
      </c>
      <c r="Q322" s="2">
        <f t="shared" si="4403"/>
        <v>321</v>
      </c>
      <c r="R322" s="4">
        <v>0.52900000000000003</v>
      </c>
      <c r="S322" s="2">
        <f t="shared" ref="S322:U322" si="4404">_xlfn.RANK.EQ(R322, R$7:R$375,0)</f>
        <v>50</v>
      </c>
      <c r="T322" s="2">
        <v>18</v>
      </c>
      <c r="U322" s="2">
        <f t="shared" si="4404"/>
        <v>266</v>
      </c>
      <c r="V322" s="2">
        <v>33</v>
      </c>
      <c r="W322" s="2">
        <f t="shared" ref="W322:Y322" si="4405">_xlfn.RANK.EQ(V322, V$7:V$375,0)</f>
        <v>278</v>
      </c>
      <c r="X322" s="4">
        <v>0.54500000000000004</v>
      </c>
      <c r="Y322" s="2">
        <f t="shared" si="4405"/>
        <v>117</v>
      </c>
      <c r="Z322" s="2">
        <v>0</v>
      </c>
      <c r="AA322" s="2">
        <f t="shared" ref="AA322:AC322" si="4406">_xlfn.RANK.EQ(Z322, Z$7:Z$375,0)</f>
        <v>329</v>
      </c>
      <c r="AB322" s="2">
        <v>1</v>
      </c>
      <c r="AC322" s="2">
        <f t="shared" si="4406"/>
        <v>342</v>
      </c>
      <c r="AD322" s="4">
        <v>0</v>
      </c>
      <c r="AE322" s="2">
        <f t="shared" ref="AE322:AG322" si="4407">_xlfn.RANK.EQ(AD322, AD$7:AD$375,0)</f>
        <v>329</v>
      </c>
      <c r="AF322" s="2">
        <v>5</v>
      </c>
      <c r="AG322" s="2">
        <f t="shared" si="4407"/>
        <v>297</v>
      </c>
      <c r="AH322" s="2">
        <v>12</v>
      </c>
      <c r="AI322" s="2">
        <f t="shared" ref="AI322:AK322" si="4408">_xlfn.RANK.EQ(AH322, AH$7:AH$375,0)</f>
        <v>283</v>
      </c>
      <c r="AJ322" s="4">
        <v>0.41699999999999998</v>
      </c>
      <c r="AK322" s="2">
        <f t="shared" si="4408"/>
        <v>339</v>
      </c>
      <c r="AL322" s="2">
        <v>43</v>
      </c>
      <c r="AM322" s="2">
        <f t="shared" ref="AM322:AO322" si="4409">_xlfn.RANK.EQ(AL322, AL$7:AL$375,0)</f>
        <v>106</v>
      </c>
      <c r="AN322" s="2">
        <v>81</v>
      </c>
      <c r="AO322" s="2">
        <f t="shared" si="4409"/>
        <v>142</v>
      </c>
      <c r="AP322" s="2">
        <v>124</v>
      </c>
      <c r="AQ322" s="2">
        <f t="shared" ref="AQ322:AS322" si="4410">_xlfn.RANK.EQ(AP322, AP$7:AP$375,0)</f>
        <v>125</v>
      </c>
      <c r="AR322" s="2">
        <v>55</v>
      </c>
      <c r="AS322" s="2">
        <f t="shared" si="4410"/>
        <v>207</v>
      </c>
      <c r="AT322" s="2">
        <v>34</v>
      </c>
      <c r="AU322" s="2">
        <f t="shared" ref="AU322:AW322" si="4411">_xlfn.RANK.EQ(AT322, AT$7:AT$375,0)</f>
        <v>196</v>
      </c>
      <c r="AV322" s="2">
        <v>24</v>
      </c>
      <c r="AW322" s="2">
        <f t="shared" si="4411"/>
        <v>180</v>
      </c>
      <c r="AX322" s="2">
        <v>12</v>
      </c>
      <c r="AY322" s="2">
        <f t="shared" ref="AY322:BA322" si="4412">_xlfn.RANK.EQ(AX322, AX$7:AX$375,0)</f>
        <v>88</v>
      </c>
      <c r="AZ322" s="2">
        <v>5</v>
      </c>
      <c r="BA322" s="2">
        <f t="shared" si="4412"/>
        <v>227</v>
      </c>
      <c r="BB322" s="2">
        <v>81</v>
      </c>
      <c r="BC322" s="2">
        <f t="shared" ref="BC322:BE322" si="4413">_xlfn.RANK.EQ(BB322, BB$7:BB$375,0)</f>
        <v>190</v>
      </c>
      <c r="BD322" s="2">
        <v>15</v>
      </c>
      <c r="BE322" s="2">
        <f t="shared" si="4413"/>
        <v>282</v>
      </c>
      <c r="BF322" s="2">
        <v>127</v>
      </c>
      <c r="BG322" s="2">
        <f t="shared" ref="BG322:BI322" si="4414">_xlfn.RANK.EQ(BF322, BF$7:BF$375,0)</f>
        <v>227</v>
      </c>
      <c r="BH322" s="2">
        <v>-91</v>
      </c>
      <c r="BI322" s="2">
        <f t="shared" si="4414"/>
        <v>272</v>
      </c>
    </row>
    <row r="323" spans="1:61" x14ac:dyDescent="0.55000000000000004">
      <c r="A323" s="2">
        <v>317</v>
      </c>
      <c r="B323" s="2" t="s">
        <v>373</v>
      </c>
      <c r="C323" s="2" t="s">
        <v>50</v>
      </c>
      <c r="D323" s="2">
        <v>45</v>
      </c>
      <c r="E323" s="2">
        <f t="shared" si="3588"/>
        <v>217</v>
      </c>
      <c r="F323" s="2">
        <v>0</v>
      </c>
      <c r="G323" s="2">
        <f t="shared" ref="G323:I323" si="4415">_xlfn.RANK.EQ(F323, F$7:F$375,0)</f>
        <v>291</v>
      </c>
      <c r="H323" s="3">
        <v>10.589583333333334</v>
      </c>
      <c r="I323" s="2">
        <f t="shared" si="4415"/>
        <v>297</v>
      </c>
      <c r="J323" s="5">
        <v>0.23472222222222222</v>
      </c>
      <c r="K323" s="2">
        <f t="shared" ref="K323:M323" si="4416">_xlfn.RANK.EQ(J323, J$7:J$375,0)</f>
        <v>319</v>
      </c>
      <c r="L323" s="2">
        <v>40</v>
      </c>
      <c r="M323" s="2">
        <f t="shared" si="4416"/>
        <v>317</v>
      </c>
      <c r="N323" s="2">
        <v>20</v>
      </c>
      <c r="O323" s="2">
        <f t="shared" ref="O323:Q323" si="4417">_xlfn.RANK.EQ(N323, N$7:N$375,0)</f>
        <v>302</v>
      </c>
      <c r="P323" s="2">
        <v>38</v>
      </c>
      <c r="Q323" s="2">
        <f t="shared" si="4417"/>
        <v>317</v>
      </c>
      <c r="R323" s="4">
        <v>0.52600000000000002</v>
      </c>
      <c r="S323" s="2">
        <f t="shared" ref="S323:U323" si="4418">_xlfn.RANK.EQ(R323, R$7:R$375,0)</f>
        <v>51</v>
      </c>
      <c r="T323" s="2">
        <v>20</v>
      </c>
      <c r="U323" s="2">
        <f t="shared" si="4418"/>
        <v>259</v>
      </c>
      <c r="V323" s="2">
        <v>37</v>
      </c>
      <c r="W323" s="2">
        <f t="shared" ref="W323:Y323" si="4419">_xlfn.RANK.EQ(V323, V$7:V$375,0)</f>
        <v>274</v>
      </c>
      <c r="X323" s="4">
        <v>0.54100000000000004</v>
      </c>
      <c r="Y323" s="2">
        <f t="shared" si="4419"/>
        <v>120</v>
      </c>
      <c r="Z323" s="2">
        <v>0</v>
      </c>
      <c r="AA323" s="2">
        <f t="shared" ref="AA323:AC323" si="4420">_xlfn.RANK.EQ(Z323, Z$7:Z$375,0)</f>
        <v>329</v>
      </c>
      <c r="AB323" s="2">
        <v>1</v>
      </c>
      <c r="AC323" s="2">
        <f t="shared" si="4420"/>
        <v>342</v>
      </c>
      <c r="AD323" s="4">
        <v>0</v>
      </c>
      <c r="AE323" s="2">
        <f t="shared" ref="AE323:AG323" si="4421">_xlfn.RANK.EQ(AD323, AD$7:AD$375,0)</f>
        <v>329</v>
      </c>
      <c r="AF323" s="2">
        <v>0</v>
      </c>
      <c r="AG323" s="2">
        <f t="shared" si="4421"/>
        <v>348</v>
      </c>
      <c r="AH323" s="2">
        <v>7</v>
      </c>
      <c r="AI323" s="2">
        <f t="shared" ref="AI323:AK323" si="4422">_xlfn.RANK.EQ(AH323, AH$7:AH$375,0)</f>
        <v>305</v>
      </c>
      <c r="AJ323" s="4">
        <v>0</v>
      </c>
      <c r="AK323" s="2">
        <f t="shared" si="4422"/>
        <v>348</v>
      </c>
      <c r="AL323" s="2">
        <v>20</v>
      </c>
      <c r="AM323" s="2">
        <f t="shared" ref="AM323:AO323" si="4423">_xlfn.RANK.EQ(AL323, AL$7:AL$375,0)</f>
        <v>198</v>
      </c>
      <c r="AN323" s="2">
        <v>35</v>
      </c>
      <c r="AO323" s="2">
        <f t="shared" si="4423"/>
        <v>240</v>
      </c>
      <c r="AP323" s="2">
        <v>55</v>
      </c>
      <c r="AQ323" s="2">
        <f t="shared" ref="AQ323:AS323" si="4424">_xlfn.RANK.EQ(AP323, AP$7:AP$375,0)</f>
        <v>234</v>
      </c>
      <c r="AR323" s="2">
        <v>7</v>
      </c>
      <c r="AS323" s="2">
        <f t="shared" si="4424"/>
        <v>319</v>
      </c>
      <c r="AT323" s="2">
        <v>9</v>
      </c>
      <c r="AU323" s="2">
        <f t="shared" ref="AU323:AW323" si="4425">_xlfn.RANK.EQ(AT323, AT$7:AT$375,0)</f>
        <v>309</v>
      </c>
      <c r="AV323" s="2">
        <v>7</v>
      </c>
      <c r="AW323" s="2">
        <f t="shared" si="4425"/>
        <v>287</v>
      </c>
      <c r="AX323" s="2">
        <v>2</v>
      </c>
      <c r="AY323" s="2">
        <f t="shared" ref="AY323:BA323" si="4426">_xlfn.RANK.EQ(AX323, AX$7:AX$375,0)</f>
        <v>234</v>
      </c>
      <c r="AZ323" s="2">
        <v>3</v>
      </c>
      <c r="BA323" s="2">
        <f t="shared" si="4426"/>
        <v>267</v>
      </c>
      <c r="BB323" s="2">
        <v>58</v>
      </c>
      <c r="BC323" s="2">
        <f t="shared" ref="BC323:BE323" si="4427">_xlfn.RANK.EQ(BB323, BB$7:BB$375,0)</f>
        <v>249</v>
      </c>
      <c r="BD323" s="2">
        <v>9</v>
      </c>
      <c r="BE323" s="2">
        <f t="shared" si="4427"/>
        <v>304</v>
      </c>
      <c r="BF323" s="2">
        <v>25</v>
      </c>
      <c r="BG323" s="2">
        <f t="shared" ref="BG323:BI323" si="4428">_xlfn.RANK.EQ(BF323, BF$7:BF$375,0)</f>
        <v>297</v>
      </c>
      <c r="BH323" s="2">
        <v>-2</v>
      </c>
      <c r="BI323" s="2">
        <f t="shared" si="4428"/>
        <v>151</v>
      </c>
    </row>
    <row r="324" spans="1:61" x14ac:dyDescent="0.55000000000000004">
      <c r="A324" s="2">
        <v>318</v>
      </c>
      <c r="B324" s="2" t="s">
        <v>374</v>
      </c>
      <c r="C324" s="2" t="s">
        <v>106</v>
      </c>
      <c r="D324" s="2">
        <v>21</v>
      </c>
      <c r="E324" s="2">
        <f t="shared" si="3588"/>
        <v>314</v>
      </c>
      <c r="F324" s="2">
        <v>0</v>
      </c>
      <c r="G324" s="2">
        <f t="shared" ref="G324:I324" si="4429">_xlfn.RANK.EQ(F324, F$7:F$375,0)</f>
        <v>291</v>
      </c>
      <c r="H324" s="3">
        <v>3.2895833333333333</v>
      </c>
      <c r="I324" s="2">
        <f t="shared" si="4429"/>
        <v>334</v>
      </c>
      <c r="J324" s="5">
        <v>0.15625</v>
      </c>
      <c r="K324" s="2">
        <f t="shared" ref="K324:M324" si="4430">_xlfn.RANK.EQ(J324, J$7:J$375,0)</f>
        <v>338</v>
      </c>
      <c r="L324" s="2">
        <v>39</v>
      </c>
      <c r="M324" s="2">
        <f t="shared" si="4430"/>
        <v>318</v>
      </c>
      <c r="N324" s="2">
        <v>13</v>
      </c>
      <c r="O324" s="2">
        <f t="shared" ref="O324:Q324" si="4431">_xlfn.RANK.EQ(N324, N$7:N$375,0)</f>
        <v>320</v>
      </c>
      <c r="P324" s="2">
        <v>37</v>
      </c>
      <c r="Q324" s="2">
        <f t="shared" si="4431"/>
        <v>318</v>
      </c>
      <c r="R324" s="4">
        <v>0.35099999999999998</v>
      </c>
      <c r="S324" s="2">
        <f t="shared" ref="S324:U324" si="4432">_xlfn.RANK.EQ(R324, R$7:R$375,0)</f>
        <v>277</v>
      </c>
      <c r="T324" s="2">
        <v>1</v>
      </c>
      <c r="U324" s="2">
        <f t="shared" si="4432"/>
        <v>347</v>
      </c>
      <c r="V324" s="2">
        <v>6</v>
      </c>
      <c r="W324" s="2">
        <f t="shared" ref="W324:Y324" si="4433">_xlfn.RANK.EQ(V324, V$7:V$375,0)</f>
        <v>338</v>
      </c>
      <c r="X324" s="4">
        <v>0.16700000000000001</v>
      </c>
      <c r="Y324" s="2">
        <f t="shared" si="4433"/>
        <v>356</v>
      </c>
      <c r="Z324" s="2">
        <v>12</v>
      </c>
      <c r="AA324" s="2">
        <f t="shared" ref="AA324:AC324" si="4434">_xlfn.RANK.EQ(Z324, Z$7:Z$375,0)</f>
        <v>246</v>
      </c>
      <c r="AB324" s="2">
        <v>31</v>
      </c>
      <c r="AC324" s="2">
        <f t="shared" si="4434"/>
        <v>263</v>
      </c>
      <c r="AD324" s="4">
        <v>0.38700000000000001</v>
      </c>
      <c r="AE324" s="2">
        <f t="shared" ref="AE324:AG324" si="4435">_xlfn.RANK.EQ(AD324, AD$7:AD$375,0)</f>
        <v>54</v>
      </c>
      <c r="AF324" s="2">
        <v>1</v>
      </c>
      <c r="AG324" s="2">
        <f t="shared" si="4435"/>
        <v>330</v>
      </c>
      <c r="AH324" s="2">
        <v>2</v>
      </c>
      <c r="AI324" s="2">
        <f t="shared" ref="AI324:AK324" si="4436">_xlfn.RANK.EQ(AH324, AH$7:AH$375,0)</f>
        <v>333</v>
      </c>
      <c r="AJ324" s="4">
        <v>0.5</v>
      </c>
      <c r="AK324" s="2">
        <f t="shared" si="4436"/>
        <v>306</v>
      </c>
      <c r="AL324" s="2">
        <v>4</v>
      </c>
      <c r="AM324" s="2">
        <f t="shared" ref="AM324:AO324" si="4437">_xlfn.RANK.EQ(AL324, AL$7:AL$375,0)</f>
        <v>305</v>
      </c>
      <c r="AN324" s="2">
        <v>4</v>
      </c>
      <c r="AO324" s="2">
        <f t="shared" si="4437"/>
        <v>336</v>
      </c>
      <c r="AP324" s="2">
        <v>8</v>
      </c>
      <c r="AQ324" s="2">
        <f t="shared" ref="AQ324:AS324" si="4438">_xlfn.RANK.EQ(AP324, AP$7:AP$375,0)</f>
        <v>328</v>
      </c>
      <c r="AR324" s="2">
        <v>5</v>
      </c>
      <c r="AS324" s="2">
        <f t="shared" si="4438"/>
        <v>324</v>
      </c>
      <c r="AT324" s="2">
        <v>3</v>
      </c>
      <c r="AU324" s="2">
        <f t="shared" ref="AU324:AW324" si="4439">_xlfn.RANK.EQ(AT324, AT$7:AT$375,0)</f>
        <v>339</v>
      </c>
      <c r="AV324" s="2">
        <v>1</v>
      </c>
      <c r="AW324" s="2">
        <f t="shared" si="4439"/>
        <v>335</v>
      </c>
      <c r="AX324" s="2">
        <v>0</v>
      </c>
      <c r="AY324" s="2">
        <f t="shared" ref="AY324:BA324" si="4440">_xlfn.RANK.EQ(AX324, AX$7:AX$375,0)</f>
        <v>298</v>
      </c>
      <c r="AZ324" s="2">
        <v>2</v>
      </c>
      <c r="BA324" s="2">
        <f t="shared" si="4440"/>
        <v>285</v>
      </c>
      <c r="BB324" s="2">
        <v>12</v>
      </c>
      <c r="BC324" s="2">
        <f t="shared" ref="BC324:BE324" si="4441">_xlfn.RANK.EQ(BB324, BB$7:BB$375,0)</f>
        <v>331</v>
      </c>
      <c r="BD324" s="2">
        <v>1</v>
      </c>
      <c r="BE324" s="2">
        <f t="shared" si="4441"/>
        <v>348</v>
      </c>
      <c r="BF324" s="2">
        <v>12</v>
      </c>
      <c r="BG324" s="2">
        <f t="shared" ref="BG324:BI324" si="4442">_xlfn.RANK.EQ(BF324, BF$7:BF$375,0)</f>
        <v>320</v>
      </c>
      <c r="BH324" s="2">
        <v>10</v>
      </c>
      <c r="BI324" s="2">
        <f t="shared" si="4442"/>
        <v>132</v>
      </c>
    </row>
    <row r="325" spans="1:61" x14ac:dyDescent="0.55000000000000004">
      <c r="A325" s="2">
        <v>318</v>
      </c>
      <c r="B325" s="2" t="s">
        <v>375</v>
      </c>
      <c r="C325" s="2" t="s">
        <v>113</v>
      </c>
      <c r="D325" s="2">
        <v>24</v>
      </c>
      <c r="E325" s="2">
        <f t="shared" si="3588"/>
        <v>306</v>
      </c>
      <c r="F325" s="2">
        <v>1</v>
      </c>
      <c r="G325" s="2">
        <f t="shared" ref="G325:I325" si="4443">_xlfn.RANK.EQ(F325, F$7:F$375,0)</f>
        <v>272</v>
      </c>
      <c r="H325" s="3">
        <v>5.1270833333333332</v>
      </c>
      <c r="I325" s="2">
        <f t="shared" si="4443"/>
        <v>324</v>
      </c>
      <c r="J325" s="5">
        <v>0.21319444444444444</v>
      </c>
      <c r="K325" s="2">
        <f t="shared" ref="K325:M325" si="4444">_xlfn.RANK.EQ(J325, J$7:J$375,0)</f>
        <v>321</v>
      </c>
      <c r="L325" s="2">
        <v>39</v>
      </c>
      <c r="M325" s="2">
        <f t="shared" si="4444"/>
        <v>318</v>
      </c>
      <c r="N325" s="2">
        <v>16</v>
      </c>
      <c r="O325" s="2">
        <f t="shared" ref="O325:Q325" si="4445">_xlfn.RANK.EQ(N325, N$7:N$375,0)</f>
        <v>310</v>
      </c>
      <c r="P325" s="2">
        <v>26</v>
      </c>
      <c r="Q325" s="2">
        <f t="shared" si="4445"/>
        <v>328</v>
      </c>
      <c r="R325" s="4">
        <v>0.61499999999999999</v>
      </c>
      <c r="S325" s="2">
        <f t="shared" ref="S325:U325" si="4446">_xlfn.RANK.EQ(R325, R$7:R$375,0)</f>
        <v>10</v>
      </c>
      <c r="T325" s="2">
        <v>14</v>
      </c>
      <c r="U325" s="2">
        <f t="shared" si="4446"/>
        <v>278</v>
      </c>
      <c r="V325" s="2">
        <v>22</v>
      </c>
      <c r="W325" s="2">
        <f t="shared" ref="W325:Y325" si="4447">_xlfn.RANK.EQ(V325, V$7:V$375,0)</f>
        <v>298</v>
      </c>
      <c r="X325" s="4">
        <v>0.63600000000000001</v>
      </c>
      <c r="Y325" s="2">
        <f t="shared" si="4447"/>
        <v>29</v>
      </c>
      <c r="Z325" s="2">
        <v>2</v>
      </c>
      <c r="AA325" s="2">
        <f t="shared" ref="AA325:AC325" si="4448">_xlfn.RANK.EQ(Z325, Z$7:Z$375,0)</f>
        <v>304</v>
      </c>
      <c r="AB325" s="2">
        <v>4</v>
      </c>
      <c r="AC325" s="2">
        <f t="shared" si="4448"/>
        <v>323</v>
      </c>
      <c r="AD325" s="4">
        <v>0.5</v>
      </c>
      <c r="AE325" s="2">
        <f t="shared" ref="AE325:AG325" si="4449">_xlfn.RANK.EQ(AD325, AD$7:AD$375,0)</f>
        <v>7</v>
      </c>
      <c r="AF325" s="2">
        <v>5</v>
      </c>
      <c r="AG325" s="2">
        <f t="shared" si="4449"/>
        <v>297</v>
      </c>
      <c r="AH325" s="2">
        <v>6</v>
      </c>
      <c r="AI325" s="2">
        <f t="shared" ref="AI325:AK325" si="4450">_xlfn.RANK.EQ(AH325, AH$7:AH$375,0)</f>
        <v>307</v>
      </c>
      <c r="AJ325" s="4">
        <v>0.83299999999999996</v>
      </c>
      <c r="AK325" s="2">
        <f t="shared" si="4450"/>
        <v>50</v>
      </c>
      <c r="AL325" s="2">
        <v>15</v>
      </c>
      <c r="AM325" s="2">
        <f t="shared" ref="AM325:AO325" si="4451">_xlfn.RANK.EQ(AL325, AL$7:AL$375,0)</f>
        <v>241</v>
      </c>
      <c r="AN325" s="2">
        <v>11</v>
      </c>
      <c r="AO325" s="2">
        <f t="shared" si="4451"/>
        <v>307</v>
      </c>
      <c r="AP325" s="2">
        <v>26</v>
      </c>
      <c r="AQ325" s="2">
        <f t="shared" ref="AQ325:AS325" si="4452">_xlfn.RANK.EQ(AP325, AP$7:AP$375,0)</f>
        <v>294</v>
      </c>
      <c r="AR325" s="2">
        <v>4</v>
      </c>
      <c r="AS325" s="2">
        <f t="shared" si="4452"/>
        <v>327</v>
      </c>
      <c r="AT325" s="2">
        <v>6</v>
      </c>
      <c r="AU325" s="2">
        <f t="shared" ref="AU325:AW325" si="4453">_xlfn.RANK.EQ(AT325, AT$7:AT$375,0)</f>
        <v>323</v>
      </c>
      <c r="AV325" s="2">
        <v>1</v>
      </c>
      <c r="AW325" s="2">
        <f t="shared" si="4453"/>
        <v>335</v>
      </c>
      <c r="AX325" s="2">
        <v>2</v>
      </c>
      <c r="AY325" s="2">
        <f t="shared" ref="AY325:BA325" si="4454">_xlfn.RANK.EQ(AX325, AX$7:AX$375,0)</f>
        <v>234</v>
      </c>
      <c r="AZ325" s="2">
        <v>0</v>
      </c>
      <c r="BA325" s="2">
        <f t="shared" si="4454"/>
        <v>337</v>
      </c>
      <c r="BB325" s="2">
        <v>20</v>
      </c>
      <c r="BC325" s="2">
        <f t="shared" ref="BC325:BE325" si="4455">_xlfn.RANK.EQ(BB325, BB$7:BB$375,0)</f>
        <v>321</v>
      </c>
      <c r="BD325" s="2">
        <v>5</v>
      </c>
      <c r="BE325" s="2">
        <f t="shared" si="4455"/>
        <v>324</v>
      </c>
      <c r="BF325" s="2">
        <v>40</v>
      </c>
      <c r="BG325" s="2">
        <f t="shared" ref="BG325:BI325" si="4456">_xlfn.RANK.EQ(BF325, BF$7:BF$375,0)</f>
        <v>285</v>
      </c>
      <c r="BH325" s="2">
        <v>-17</v>
      </c>
      <c r="BI325" s="2">
        <f t="shared" si="4456"/>
        <v>185</v>
      </c>
    </row>
    <row r="326" spans="1:61" x14ac:dyDescent="0.55000000000000004">
      <c r="A326" s="2">
        <v>318</v>
      </c>
      <c r="B326" s="2" t="s">
        <v>376</v>
      </c>
      <c r="C326" s="2" t="s">
        <v>36</v>
      </c>
      <c r="D326" s="2">
        <v>37</v>
      </c>
      <c r="E326" s="2">
        <f t="shared" si="3588"/>
        <v>256</v>
      </c>
      <c r="F326" s="2">
        <v>0</v>
      </c>
      <c r="G326" s="2">
        <f t="shared" ref="G326:I326" si="4457">_xlfn.RANK.EQ(F326, F$7:F$375,0)</f>
        <v>291</v>
      </c>
      <c r="H326" s="3">
        <v>6.7493055555555559</v>
      </c>
      <c r="I326" s="2">
        <f t="shared" si="4457"/>
        <v>315</v>
      </c>
      <c r="J326" s="5">
        <v>0.18194444444444444</v>
      </c>
      <c r="K326" s="2">
        <f t="shared" ref="K326:M326" si="4458">_xlfn.RANK.EQ(J326, J$7:J$375,0)</f>
        <v>330</v>
      </c>
      <c r="L326" s="2">
        <v>39</v>
      </c>
      <c r="M326" s="2">
        <f t="shared" si="4458"/>
        <v>318</v>
      </c>
      <c r="N326" s="2">
        <v>14</v>
      </c>
      <c r="O326" s="2">
        <f t="shared" ref="O326:Q326" si="4459">_xlfn.RANK.EQ(N326, N$7:N$375,0)</f>
        <v>315</v>
      </c>
      <c r="P326" s="2">
        <v>46</v>
      </c>
      <c r="Q326" s="2">
        <f t="shared" si="4459"/>
        <v>309</v>
      </c>
      <c r="R326" s="4">
        <v>0.30399999999999999</v>
      </c>
      <c r="S326" s="2">
        <f t="shared" ref="S326:U326" si="4460">_xlfn.RANK.EQ(R326, R$7:R$375,0)</f>
        <v>328</v>
      </c>
      <c r="T326" s="2">
        <v>4</v>
      </c>
      <c r="U326" s="2">
        <f t="shared" si="4460"/>
        <v>327</v>
      </c>
      <c r="V326" s="2">
        <v>18</v>
      </c>
      <c r="W326" s="2">
        <f t="shared" ref="W326:Y326" si="4461">_xlfn.RANK.EQ(V326, V$7:V$375,0)</f>
        <v>305</v>
      </c>
      <c r="X326" s="4">
        <v>0.222</v>
      </c>
      <c r="Y326" s="2">
        <f t="shared" si="4461"/>
        <v>354</v>
      </c>
      <c r="Z326" s="2">
        <v>10</v>
      </c>
      <c r="AA326" s="2">
        <f t="shared" ref="AA326:AC326" si="4462">_xlfn.RANK.EQ(Z326, Z$7:Z$375,0)</f>
        <v>254</v>
      </c>
      <c r="AB326" s="2">
        <v>28</v>
      </c>
      <c r="AC326" s="2">
        <f t="shared" si="4462"/>
        <v>272</v>
      </c>
      <c r="AD326" s="4">
        <v>0.35699999999999998</v>
      </c>
      <c r="AE326" s="2">
        <f t="shared" ref="AE326:AG326" si="4463">_xlfn.RANK.EQ(AD326, AD$7:AD$375,0)</f>
        <v>100</v>
      </c>
      <c r="AF326" s="2">
        <v>1</v>
      </c>
      <c r="AG326" s="2">
        <f t="shared" si="4463"/>
        <v>330</v>
      </c>
      <c r="AH326" s="2">
        <v>1</v>
      </c>
      <c r="AI326" s="2">
        <f t="shared" ref="AI326:AK326" si="4464">_xlfn.RANK.EQ(AH326, AH$7:AH$375,0)</f>
        <v>349</v>
      </c>
      <c r="AJ326" s="4">
        <v>1</v>
      </c>
      <c r="AK326" s="2">
        <f t="shared" si="4464"/>
        <v>1</v>
      </c>
      <c r="AL326" s="2">
        <v>7</v>
      </c>
      <c r="AM326" s="2">
        <f t="shared" ref="AM326:AO326" si="4465">_xlfn.RANK.EQ(AL326, AL$7:AL$375,0)</f>
        <v>292</v>
      </c>
      <c r="AN326" s="2">
        <v>6</v>
      </c>
      <c r="AO326" s="2">
        <f t="shared" si="4465"/>
        <v>326</v>
      </c>
      <c r="AP326" s="2">
        <v>13</v>
      </c>
      <c r="AQ326" s="2">
        <f t="shared" ref="AQ326:AS326" si="4466">_xlfn.RANK.EQ(AP326, AP$7:AP$375,0)</f>
        <v>316</v>
      </c>
      <c r="AR326" s="2">
        <v>22</v>
      </c>
      <c r="AS326" s="2">
        <f t="shared" si="4466"/>
        <v>272</v>
      </c>
      <c r="AT326" s="2">
        <v>12</v>
      </c>
      <c r="AU326" s="2">
        <f t="shared" ref="AU326:AW326" si="4467">_xlfn.RANK.EQ(AT326, AT$7:AT$375,0)</f>
        <v>295</v>
      </c>
      <c r="AV326" s="2">
        <v>4</v>
      </c>
      <c r="AW326" s="2">
        <f t="shared" si="4467"/>
        <v>312</v>
      </c>
      <c r="AX326" s="2">
        <v>0</v>
      </c>
      <c r="AY326" s="2">
        <f t="shared" ref="AY326:BA326" si="4468">_xlfn.RANK.EQ(AX326, AX$7:AX$375,0)</f>
        <v>298</v>
      </c>
      <c r="AZ326" s="2">
        <v>1</v>
      </c>
      <c r="BA326" s="2">
        <f t="shared" si="4468"/>
        <v>308</v>
      </c>
      <c r="BB326" s="2">
        <v>19</v>
      </c>
      <c r="BC326" s="2">
        <f t="shared" ref="BC326:BE326" si="4469">_xlfn.RANK.EQ(BB326, BB$7:BB$375,0)</f>
        <v>323</v>
      </c>
      <c r="BD326" s="2">
        <v>5</v>
      </c>
      <c r="BE326" s="2">
        <f t="shared" si="4469"/>
        <v>324</v>
      </c>
      <c r="BF326" s="2">
        <v>19</v>
      </c>
      <c r="BG326" s="2">
        <f t="shared" ref="BG326:BI326" si="4470">_xlfn.RANK.EQ(BF326, BF$7:BF$375,0)</f>
        <v>306</v>
      </c>
      <c r="BH326" s="2">
        <v>-65</v>
      </c>
      <c r="BI326" s="2">
        <f t="shared" si="4470"/>
        <v>255</v>
      </c>
    </row>
    <row r="327" spans="1:61" x14ac:dyDescent="0.55000000000000004">
      <c r="A327" s="2">
        <v>321</v>
      </c>
      <c r="B327" s="2" t="s">
        <v>377</v>
      </c>
      <c r="C327" s="2" t="s">
        <v>91</v>
      </c>
      <c r="D327" s="2">
        <v>17</v>
      </c>
      <c r="E327" s="2">
        <f t="shared" si="3588"/>
        <v>333</v>
      </c>
      <c r="F327" s="2">
        <v>0</v>
      </c>
      <c r="G327" s="2">
        <f t="shared" ref="G327:I327" si="4471">_xlfn.RANK.EQ(F327, F$7:F$375,0)</f>
        <v>291</v>
      </c>
      <c r="H327" s="3">
        <v>6.5618055555555559</v>
      </c>
      <c r="I327" s="2">
        <f t="shared" si="4471"/>
        <v>318</v>
      </c>
      <c r="J327" s="5">
        <v>0.38541666666666669</v>
      </c>
      <c r="K327" s="2">
        <f t="shared" ref="K327:M327" si="4472">_xlfn.RANK.EQ(J327, J$7:J$375,0)</f>
        <v>284</v>
      </c>
      <c r="L327" s="2">
        <v>32</v>
      </c>
      <c r="M327" s="2">
        <f t="shared" si="4472"/>
        <v>321</v>
      </c>
      <c r="N327" s="2">
        <v>9</v>
      </c>
      <c r="O327" s="2">
        <f t="shared" ref="O327:Q327" si="4473">_xlfn.RANK.EQ(N327, N$7:N$375,0)</f>
        <v>325</v>
      </c>
      <c r="P327" s="2">
        <v>30</v>
      </c>
      <c r="Q327" s="2">
        <f t="shared" si="4473"/>
        <v>325</v>
      </c>
      <c r="R327" s="4">
        <v>0.3</v>
      </c>
      <c r="S327" s="2">
        <f t="shared" ref="S327:U327" si="4474">_xlfn.RANK.EQ(R327, R$7:R$375,0)</f>
        <v>330</v>
      </c>
      <c r="T327" s="2">
        <v>7</v>
      </c>
      <c r="U327" s="2">
        <f t="shared" si="4474"/>
        <v>305</v>
      </c>
      <c r="V327" s="2">
        <v>19</v>
      </c>
      <c r="W327" s="2">
        <f t="shared" ref="W327:Y327" si="4475">_xlfn.RANK.EQ(V327, V$7:V$375,0)</f>
        <v>303</v>
      </c>
      <c r="X327" s="4">
        <v>0.36799999999999999</v>
      </c>
      <c r="Y327" s="2">
        <f t="shared" si="4475"/>
        <v>317</v>
      </c>
      <c r="Z327" s="2">
        <v>2</v>
      </c>
      <c r="AA327" s="2">
        <f t="shared" ref="AA327:AC327" si="4476">_xlfn.RANK.EQ(Z327, Z$7:Z$375,0)</f>
        <v>304</v>
      </c>
      <c r="AB327" s="2">
        <v>11</v>
      </c>
      <c r="AC327" s="2">
        <f t="shared" si="4476"/>
        <v>302</v>
      </c>
      <c r="AD327" s="4">
        <v>0.182</v>
      </c>
      <c r="AE327" s="2">
        <f t="shared" ref="AE327:AG327" si="4477">_xlfn.RANK.EQ(AD327, AD$7:AD$375,0)</f>
        <v>313</v>
      </c>
      <c r="AF327" s="2">
        <v>12</v>
      </c>
      <c r="AG327" s="2">
        <f t="shared" si="4477"/>
        <v>261</v>
      </c>
      <c r="AH327" s="2">
        <v>14</v>
      </c>
      <c r="AI327" s="2">
        <f t="shared" ref="AI327:AK327" si="4478">_xlfn.RANK.EQ(AH327, AH$7:AH$375,0)</f>
        <v>271</v>
      </c>
      <c r="AJ327" s="4">
        <v>0.85699999999999998</v>
      </c>
      <c r="AK327" s="2">
        <f t="shared" si="4478"/>
        <v>34</v>
      </c>
      <c r="AL327" s="2">
        <v>0</v>
      </c>
      <c r="AM327" s="2">
        <f t="shared" ref="AM327:AO327" si="4479">_xlfn.RANK.EQ(AL327, AL$7:AL$375,0)</f>
        <v>354</v>
      </c>
      <c r="AN327" s="2">
        <v>13</v>
      </c>
      <c r="AO327" s="2">
        <f t="shared" si="4479"/>
        <v>301</v>
      </c>
      <c r="AP327" s="2">
        <v>13</v>
      </c>
      <c r="AQ327" s="2">
        <f t="shared" ref="AQ327:AS327" si="4480">_xlfn.RANK.EQ(AP327, AP$7:AP$375,0)</f>
        <v>316</v>
      </c>
      <c r="AR327" s="2">
        <v>24</v>
      </c>
      <c r="AS327" s="2">
        <f t="shared" si="4480"/>
        <v>262</v>
      </c>
      <c r="AT327" s="2">
        <v>17</v>
      </c>
      <c r="AU327" s="2">
        <f t="shared" ref="AU327:AW327" si="4481">_xlfn.RANK.EQ(AT327, AT$7:AT$375,0)</f>
        <v>273</v>
      </c>
      <c r="AV327" s="2">
        <v>8</v>
      </c>
      <c r="AW327" s="2">
        <f t="shared" si="4481"/>
        <v>281</v>
      </c>
      <c r="AX327" s="2">
        <v>0</v>
      </c>
      <c r="AY327" s="2">
        <f t="shared" ref="AY327:BA327" si="4482">_xlfn.RANK.EQ(AX327, AX$7:AX$375,0)</f>
        <v>298</v>
      </c>
      <c r="AZ327" s="2">
        <v>2</v>
      </c>
      <c r="BA327" s="2">
        <f t="shared" si="4482"/>
        <v>285</v>
      </c>
      <c r="BB327" s="2">
        <v>32</v>
      </c>
      <c r="BC327" s="2">
        <f t="shared" ref="BC327:BE327" si="4483">_xlfn.RANK.EQ(BB327, BB$7:BB$375,0)</f>
        <v>299</v>
      </c>
      <c r="BD327" s="2">
        <v>15</v>
      </c>
      <c r="BE327" s="2">
        <f t="shared" si="4483"/>
        <v>282</v>
      </c>
      <c r="BF327" s="2">
        <v>18</v>
      </c>
      <c r="BG327" s="2">
        <f t="shared" ref="BG327:BI327" si="4484">_xlfn.RANK.EQ(BF327, BF$7:BF$375,0)</f>
        <v>307</v>
      </c>
      <c r="BH327" s="2">
        <v>4</v>
      </c>
      <c r="BI327" s="2">
        <f t="shared" si="4484"/>
        <v>142</v>
      </c>
    </row>
    <row r="328" spans="1:61" x14ac:dyDescent="0.55000000000000004">
      <c r="A328" s="2">
        <v>322</v>
      </c>
      <c r="B328" s="2" t="s">
        <v>378</v>
      </c>
      <c r="C328" s="2" t="s">
        <v>91</v>
      </c>
      <c r="D328" s="2">
        <v>10</v>
      </c>
      <c r="E328" s="2">
        <f t="shared" ref="E328:E375" si="4485">_xlfn.RANK.EQ(D328, D$7:D$375,0)</f>
        <v>347</v>
      </c>
      <c r="F328" s="2">
        <v>0</v>
      </c>
      <c r="G328" s="2">
        <f t="shared" ref="G328:I328" si="4486">_xlfn.RANK.EQ(F328, F$7:F$375,0)</f>
        <v>291</v>
      </c>
      <c r="H328" s="3">
        <v>3.9340277777777777</v>
      </c>
      <c r="I328" s="2">
        <f t="shared" si="4486"/>
        <v>332</v>
      </c>
      <c r="J328" s="5">
        <v>0.39305555555555555</v>
      </c>
      <c r="K328" s="2">
        <f t="shared" ref="K328:M328" si="4487">_xlfn.RANK.EQ(J328, J$7:J$375,0)</f>
        <v>283</v>
      </c>
      <c r="L328" s="2">
        <v>30</v>
      </c>
      <c r="M328" s="2">
        <f t="shared" si="4487"/>
        <v>322</v>
      </c>
      <c r="N328" s="2">
        <v>13</v>
      </c>
      <c r="O328" s="2">
        <f t="shared" ref="O328:Q328" si="4488">_xlfn.RANK.EQ(N328, N$7:N$375,0)</f>
        <v>320</v>
      </c>
      <c r="P328" s="2">
        <v>32</v>
      </c>
      <c r="Q328" s="2">
        <f t="shared" si="4488"/>
        <v>323</v>
      </c>
      <c r="R328" s="4">
        <v>0.40600000000000003</v>
      </c>
      <c r="S328" s="2">
        <f t="shared" ref="S328:U328" si="4489">_xlfn.RANK.EQ(R328, R$7:R$375,0)</f>
        <v>187</v>
      </c>
      <c r="T328" s="2">
        <v>9</v>
      </c>
      <c r="U328" s="2">
        <f t="shared" si="4489"/>
        <v>298</v>
      </c>
      <c r="V328" s="2">
        <v>16</v>
      </c>
      <c r="W328" s="2">
        <f t="shared" ref="W328:Y328" si="4490">_xlfn.RANK.EQ(V328, V$7:V$375,0)</f>
        <v>309</v>
      </c>
      <c r="X328" s="4">
        <v>0.56299999999999994</v>
      </c>
      <c r="Y328" s="2">
        <f t="shared" si="4490"/>
        <v>89</v>
      </c>
      <c r="Z328" s="2">
        <v>4</v>
      </c>
      <c r="AA328" s="2">
        <f t="shared" ref="AA328:AC328" si="4491">_xlfn.RANK.EQ(Z328, Z$7:Z$375,0)</f>
        <v>284</v>
      </c>
      <c r="AB328" s="2">
        <v>16</v>
      </c>
      <c r="AC328" s="2">
        <f t="shared" si="4491"/>
        <v>292</v>
      </c>
      <c r="AD328" s="4">
        <v>0.25</v>
      </c>
      <c r="AE328" s="2">
        <f t="shared" ref="AE328:AG328" si="4492">_xlfn.RANK.EQ(AD328, AD$7:AD$375,0)</f>
        <v>268</v>
      </c>
      <c r="AF328" s="2">
        <v>0</v>
      </c>
      <c r="AG328" s="2">
        <f t="shared" si="4492"/>
        <v>348</v>
      </c>
      <c r="AH328" s="2">
        <v>0</v>
      </c>
      <c r="AI328" s="2">
        <f t="shared" ref="AI328:AK328" si="4493">_xlfn.RANK.EQ(AH328, AH$7:AH$375,0)</f>
        <v>351</v>
      </c>
      <c r="AJ328" s="4">
        <v>0</v>
      </c>
      <c r="AK328" s="2">
        <f t="shared" si="4493"/>
        <v>348</v>
      </c>
      <c r="AL328" s="2">
        <v>4</v>
      </c>
      <c r="AM328" s="2">
        <f t="shared" ref="AM328:AO328" si="4494">_xlfn.RANK.EQ(AL328, AL$7:AL$375,0)</f>
        <v>305</v>
      </c>
      <c r="AN328" s="2">
        <v>4</v>
      </c>
      <c r="AO328" s="2">
        <f t="shared" si="4494"/>
        <v>336</v>
      </c>
      <c r="AP328" s="2">
        <v>8</v>
      </c>
      <c r="AQ328" s="2">
        <f t="shared" ref="AQ328:AS328" si="4495">_xlfn.RANK.EQ(AP328, AP$7:AP$375,0)</f>
        <v>328</v>
      </c>
      <c r="AR328" s="2">
        <v>3</v>
      </c>
      <c r="AS328" s="2">
        <f t="shared" si="4495"/>
        <v>337</v>
      </c>
      <c r="AT328" s="2">
        <v>4</v>
      </c>
      <c r="AU328" s="2">
        <f t="shared" ref="AU328:AW328" si="4496">_xlfn.RANK.EQ(AT328, AT$7:AT$375,0)</f>
        <v>333</v>
      </c>
      <c r="AV328" s="2">
        <v>2</v>
      </c>
      <c r="AW328" s="2">
        <f t="shared" si="4496"/>
        <v>327</v>
      </c>
      <c r="AX328" s="2">
        <v>0</v>
      </c>
      <c r="AY328" s="2">
        <f t="shared" ref="AY328:BA328" si="4497">_xlfn.RANK.EQ(AX328, AX$7:AX$375,0)</f>
        <v>298</v>
      </c>
      <c r="AZ328" s="2">
        <v>2</v>
      </c>
      <c r="BA328" s="2">
        <f t="shared" si="4497"/>
        <v>285</v>
      </c>
      <c r="BB328" s="2">
        <v>21</v>
      </c>
      <c r="BC328" s="2">
        <f t="shared" ref="BC328:BE328" si="4498">_xlfn.RANK.EQ(BB328, BB$7:BB$375,0)</f>
        <v>317</v>
      </c>
      <c r="BD328" s="2">
        <v>1</v>
      </c>
      <c r="BE328" s="2">
        <f t="shared" si="4498"/>
        <v>348</v>
      </c>
      <c r="BF328" s="2">
        <v>-2</v>
      </c>
      <c r="BG328" s="2">
        <f t="shared" ref="BG328:BI328" si="4499">_xlfn.RANK.EQ(BF328, BF$7:BF$375,0)</f>
        <v>348</v>
      </c>
      <c r="BH328" s="2">
        <v>-13</v>
      </c>
      <c r="BI328" s="2">
        <f t="shared" si="4499"/>
        <v>178</v>
      </c>
    </row>
    <row r="329" spans="1:61" x14ac:dyDescent="0.55000000000000004">
      <c r="A329" s="2">
        <v>323</v>
      </c>
      <c r="B329" s="2" t="s">
        <v>379</v>
      </c>
      <c r="C329" s="2" t="s">
        <v>89</v>
      </c>
      <c r="D329" s="2">
        <v>32</v>
      </c>
      <c r="E329" s="2">
        <f t="shared" si="4485"/>
        <v>279</v>
      </c>
      <c r="F329" s="2">
        <v>0</v>
      </c>
      <c r="G329" s="2">
        <f t="shared" ref="G329:I329" si="4500">_xlfn.RANK.EQ(F329, F$7:F$375,0)</f>
        <v>291</v>
      </c>
      <c r="H329" s="3">
        <v>5.1270833333333332</v>
      </c>
      <c r="I329" s="2">
        <f t="shared" si="4500"/>
        <v>324</v>
      </c>
      <c r="J329" s="5">
        <v>0.15972222222222221</v>
      </c>
      <c r="K329" s="2">
        <f t="shared" ref="K329:M329" si="4501">_xlfn.RANK.EQ(J329, J$7:J$375,0)</f>
        <v>337</v>
      </c>
      <c r="L329" s="2">
        <v>29</v>
      </c>
      <c r="M329" s="2">
        <f t="shared" si="4501"/>
        <v>323</v>
      </c>
      <c r="N329" s="2">
        <v>11</v>
      </c>
      <c r="O329" s="2">
        <f t="shared" ref="O329:Q329" si="4502">_xlfn.RANK.EQ(N329, N$7:N$375,0)</f>
        <v>322</v>
      </c>
      <c r="P329" s="2">
        <v>33</v>
      </c>
      <c r="Q329" s="2">
        <f t="shared" si="4502"/>
        <v>322</v>
      </c>
      <c r="R329" s="4">
        <v>0.33300000000000002</v>
      </c>
      <c r="S329" s="2">
        <f t="shared" ref="S329:U329" si="4503">_xlfn.RANK.EQ(R329, R$7:R$375,0)</f>
        <v>297</v>
      </c>
      <c r="T329" s="2">
        <v>5</v>
      </c>
      <c r="U329" s="2">
        <f t="shared" si="4503"/>
        <v>319</v>
      </c>
      <c r="V329" s="2">
        <v>12</v>
      </c>
      <c r="W329" s="2">
        <f t="shared" ref="W329:Y329" si="4504">_xlfn.RANK.EQ(V329, V$7:V$375,0)</f>
        <v>321</v>
      </c>
      <c r="X329" s="4">
        <v>0.41699999999999998</v>
      </c>
      <c r="Y329" s="2">
        <f t="shared" si="4504"/>
        <v>282</v>
      </c>
      <c r="Z329" s="2">
        <v>6</v>
      </c>
      <c r="AA329" s="2">
        <f t="shared" ref="AA329:AC329" si="4505">_xlfn.RANK.EQ(Z329, Z$7:Z$375,0)</f>
        <v>274</v>
      </c>
      <c r="AB329" s="2">
        <v>21</v>
      </c>
      <c r="AC329" s="2">
        <f t="shared" si="4505"/>
        <v>285</v>
      </c>
      <c r="AD329" s="4">
        <v>0.28599999999999998</v>
      </c>
      <c r="AE329" s="2">
        <f t="shared" ref="AE329:AG329" si="4506">_xlfn.RANK.EQ(AD329, AD$7:AD$375,0)</f>
        <v>236</v>
      </c>
      <c r="AF329" s="2">
        <v>1</v>
      </c>
      <c r="AG329" s="2">
        <f t="shared" si="4506"/>
        <v>330</v>
      </c>
      <c r="AH329" s="2">
        <v>2</v>
      </c>
      <c r="AI329" s="2">
        <f t="shared" ref="AI329:AK329" si="4507">_xlfn.RANK.EQ(AH329, AH$7:AH$375,0)</f>
        <v>333</v>
      </c>
      <c r="AJ329" s="4">
        <v>0.5</v>
      </c>
      <c r="AK329" s="2">
        <f t="shared" si="4507"/>
        <v>306</v>
      </c>
      <c r="AL329" s="2">
        <v>3</v>
      </c>
      <c r="AM329" s="2">
        <f t="shared" ref="AM329:AO329" si="4508">_xlfn.RANK.EQ(AL329, AL$7:AL$375,0)</f>
        <v>319</v>
      </c>
      <c r="AN329" s="2">
        <v>3</v>
      </c>
      <c r="AO329" s="2">
        <f t="shared" si="4508"/>
        <v>342</v>
      </c>
      <c r="AP329" s="2">
        <v>6</v>
      </c>
      <c r="AQ329" s="2">
        <f t="shared" ref="AQ329:AS329" si="4509">_xlfn.RANK.EQ(AP329, AP$7:AP$375,0)</f>
        <v>338</v>
      </c>
      <c r="AR329" s="2">
        <v>13</v>
      </c>
      <c r="AS329" s="2">
        <f t="shared" si="4509"/>
        <v>298</v>
      </c>
      <c r="AT329" s="2">
        <v>10</v>
      </c>
      <c r="AU329" s="2">
        <f t="shared" ref="AU329:AW329" si="4510">_xlfn.RANK.EQ(AT329, AT$7:AT$375,0)</f>
        <v>305</v>
      </c>
      <c r="AV329" s="2">
        <v>7</v>
      </c>
      <c r="AW329" s="2">
        <f t="shared" si="4510"/>
        <v>287</v>
      </c>
      <c r="AX329" s="2">
        <v>1</v>
      </c>
      <c r="AY329" s="2">
        <f t="shared" ref="AY329:BA329" si="4511">_xlfn.RANK.EQ(AX329, AX$7:AX$375,0)</f>
        <v>265</v>
      </c>
      <c r="AZ329" s="2">
        <v>2</v>
      </c>
      <c r="BA329" s="2">
        <f t="shared" si="4511"/>
        <v>285</v>
      </c>
      <c r="BB329" s="2">
        <v>34</v>
      </c>
      <c r="BC329" s="2">
        <f t="shared" ref="BC329:BE329" si="4512">_xlfn.RANK.EQ(BB329, BB$7:BB$375,0)</f>
        <v>293</v>
      </c>
      <c r="BD329" s="2">
        <v>7</v>
      </c>
      <c r="BE329" s="2">
        <f t="shared" si="4512"/>
        <v>312</v>
      </c>
      <c r="BF329" s="2">
        <v>-6</v>
      </c>
      <c r="BG329" s="2">
        <f t="shared" ref="BG329:BI329" si="4513">_xlfn.RANK.EQ(BF329, BF$7:BF$375,0)</f>
        <v>359</v>
      </c>
      <c r="BH329" s="2">
        <v>-5</v>
      </c>
      <c r="BI329" s="2">
        <f t="shared" si="4513"/>
        <v>157</v>
      </c>
    </row>
    <row r="330" spans="1:61" x14ac:dyDescent="0.55000000000000004">
      <c r="A330" s="2">
        <v>323</v>
      </c>
      <c r="B330" s="2" t="s">
        <v>380</v>
      </c>
      <c r="C330" s="2" t="s">
        <v>91</v>
      </c>
      <c r="D330" s="2">
        <v>34</v>
      </c>
      <c r="E330" s="2">
        <f t="shared" si="4485"/>
        <v>276</v>
      </c>
      <c r="F330" s="2">
        <v>0</v>
      </c>
      <c r="G330" s="2">
        <f t="shared" ref="G330:I330" si="4514">_xlfn.RANK.EQ(F330, F$7:F$375,0)</f>
        <v>291</v>
      </c>
      <c r="H330" s="3">
        <v>6.6381944444444443</v>
      </c>
      <c r="I330" s="2">
        <f t="shared" si="4514"/>
        <v>317</v>
      </c>
      <c r="J330" s="5">
        <v>0.19513888888888889</v>
      </c>
      <c r="K330" s="2">
        <f t="shared" ref="K330:M330" si="4515">_xlfn.RANK.EQ(J330, J$7:J$375,0)</f>
        <v>327</v>
      </c>
      <c r="L330" s="2">
        <v>29</v>
      </c>
      <c r="M330" s="2">
        <f t="shared" si="4515"/>
        <v>323</v>
      </c>
      <c r="N330" s="2">
        <v>11</v>
      </c>
      <c r="O330" s="2">
        <f t="shared" ref="O330:Q330" si="4516">_xlfn.RANK.EQ(N330, N$7:N$375,0)</f>
        <v>322</v>
      </c>
      <c r="P330" s="2">
        <v>35</v>
      </c>
      <c r="Q330" s="2">
        <f t="shared" si="4516"/>
        <v>320</v>
      </c>
      <c r="R330" s="4">
        <v>0.314</v>
      </c>
      <c r="S330" s="2">
        <f t="shared" ref="S330:U330" si="4517">_xlfn.RANK.EQ(R330, R$7:R$375,0)</f>
        <v>317</v>
      </c>
      <c r="T330" s="2">
        <v>5</v>
      </c>
      <c r="U330" s="2">
        <f t="shared" si="4517"/>
        <v>319</v>
      </c>
      <c r="V330" s="2">
        <v>8</v>
      </c>
      <c r="W330" s="2">
        <f t="shared" ref="W330:Y330" si="4518">_xlfn.RANK.EQ(V330, V$7:V$375,0)</f>
        <v>332</v>
      </c>
      <c r="X330" s="4">
        <v>0.625</v>
      </c>
      <c r="Y330" s="2">
        <f t="shared" si="4518"/>
        <v>38</v>
      </c>
      <c r="Z330" s="2">
        <v>6</v>
      </c>
      <c r="AA330" s="2">
        <f t="shared" ref="AA330:AC330" si="4519">_xlfn.RANK.EQ(Z330, Z$7:Z$375,0)</f>
        <v>274</v>
      </c>
      <c r="AB330" s="2">
        <v>27</v>
      </c>
      <c r="AC330" s="2">
        <f t="shared" si="4519"/>
        <v>274</v>
      </c>
      <c r="AD330" s="4">
        <v>0.222</v>
      </c>
      <c r="AE330" s="2">
        <f t="shared" ref="AE330:AG330" si="4520">_xlfn.RANK.EQ(AD330, AD$7:AD$375,0)</f>
        <v>287</v>
      </c>
      <c r="AF330" s="2">
        <v>1</v>
      </c>
      <c r="AG330" s="2">
        <f t="shared" si="4520"/>
        <v>330</v>
      </c>
      <c r="AH330" s="2">
        <v>2</v>
      </c>
      <c r="AI330" s="2">
        <f t="shared" ref="AI330:AK330" si="4521">_xlfn.RANK.EQ(AH330, AH$7:AH$375,0)</f>
        <v>333</v>
      </c>
      <c r="AJ330" s="4">
        <v>0.5</v>
      </c>
      <c r="AK330" s="2">
        <f t="shared" si="4521"/>
        <v>306</v>
      </c>
      <c r="AL330" s="2">
        <v>3</v>
      </c>
      <c r="AM330" s="2">
        <f t="shared" ref="AM330:AO330" si="4522">_xlfn.RANK.EQ(AL330, AL$7:AL$375,0)</f>
        <v>319</v>
      </c>
      <c r="AN330" s="2">
        <v>9</v>
      </c>
      <c r="AO330" s="2">
        <f t="shared" si="4522"/>
        <v>313</v>
      </c>
      <c r="AP330" s="2">
        <v>12</v>
      </c>
      <c r="AQ330" s="2">
        <f t="shared" ref="AQ330:AS330" si="4523">_xlfn.RANK.EQ(AP330, AP$7:AP$375,0)</f>
        <v>320</v>
      </c>
      <c r="AR330" s="2">
        <v>4</v>
      </c>
      <c r="AS330" s="2">
        <f t="shared" si="4523"/>
        <v>327</v>
      </c>
      <c r="AT330" s="2">
        <v>6</v>
      </c>
      <c r="AU330" s="2">
        <f t="shared" ref="AU330:AW330" si="4524">_xlfn.RANK.EQ(AT330, AT$7:AT$375,0)</f>
        <v>323</v>
      </c>
      <c r="AV330" s="2">
        <v>6</v>
      </c>
      <c r="AW330" s="2">
        <f t="shared" si="4524"/>
        <v>293</v>
      </c>
      <c r="AX330" s="2">
        <v>3</v>
      </c>
      <c r="AY330" s="2">
        <f t="shared" ref="AY330:BA330" si="4525">_xlfn.RANK.EQ(AX330, AX$7:AX$375,0)</f>
        <v>208</v>
      </c>
      <c r="AZ330" s="2">
        <v>2</v>
      </c>
      <c r="BA330" s="2">
        <f t="shared" si="4525"/>
        <v>285</v>
      </c>
      <c r="BB330" s="2">
        <v>21</v>
      </c>
      <c r="BC330" s="2">
        <f t="shared" ref="BC330:BE330" si="4526">_xlfn.RANK.EQ(BB330, BB$7:BB$375,0)</f>
        <v>317</v>
      </c>
      <c r="BD330" s="2">
        <v>3</v>
      </c>
      <c r="BE330" s="2">
        <f t="shared" si="4526"/>
        <v>334</v>
      </c>
      <c r="BF330" s="2">
        <v>3</v>
      </c>
      <c r="BG330" s="2">
        <f t="shared" ref="BG330:BI330" si="4527">_xlfn.RANK.EQ(BF330, BF$7:BF$375,0)</f>
        <v>335</v>
      </c>
      <c r="BH330" s="2">
        <v>-47</v>
      </c>
      <c r="BI330" s="2">
        <f t="shared" si="4527"/>
        <v>228</v>
      </c>
    </row>
    <row r="331" spans="1:61" x14ac:dyDescent="0.55000000000000004">
      <c r="A331" s="2">
        <v>325</v>
      </c>
      <c r="B331" s="2" t="s">
        <v>381</v>
      </c>
      <c r="C331" s="2" t="s">
        <v>64</v>
      </c>
      <c r="D331" s="2">
        <v>27</v>
      </c>
      <c r="E331" s="2">
        <f t="shared" si="4485"/>
        <v>294</v>
      </c>
      <c r="F331" s="2">
        <v>0</v>
      </c>
      <c r="G331" s="2">
        <f t="shared" ref="G331:I331" si="4528">_xlfn.RANK.EQ(F331, F$7:F$375,0)</f>
        <v>291</v>
      </c>
      <c r="H331" s="3">
        <v>4.6319444444444446</v>
      </c>
      <c r="I331" s="2">
        <f t="shared" si="4528"/>
        <v>329</v>
      </c>
      <c r="J331" s="5">
        <v>0.17152777777777778</v>
      </c>
      <c r="K331" s="2">
        <f t="shared" ref="K331:M331" si="4529">_xlfn.RANK.EQ(J331, J$7:J$375,0)</f>
        <v>333</v>
      </c>
      <c r="L331" s="2">
        <v>28</v>
      </c>
      <c r="M331" s="2">
        <f t="shared" si="4529"/>
        <v>325</v>
      </c>
      <c r="N331" s="2">
        <v>10</v>
      </c>
      <c r="O331" s="2">
        <f t="shared" ref="O331:Q331" si="4530">_xlfn.RANK.EQ(N331, N$7:N$375,0)</f>
        <v>324</v>
      </c>
      <c r="P331" s="2">
        <v>43</v>
      </c>
      <c r="Q331" s="2">
        <f t="shared" si="4530"/>
        <v>314</v>
      </c>
      <c r="R331" s="4">
        <v>0.23300000000000001</v>
      </c>
      <c r="S331" s="2">
        <f t="shared" ref="S331:U331" si="4531">_xlfn.RANK.EQ(R331, R$7:R$375,0)</f>
        <v>352</v>
      </c>
      <c r="T331" s="2">
        <v>3</v>
      </c>
      <c r="U331" s="2">
        <f t="shared" si="4531"/>
        <v>334</v>
      </c>
      <c r="V331" s="2">
        <v>7</v>
      </c>
      <c r="W331" s="2">
        <f t="shared" ref="W331:Y331" si="4532">_xlfn.RANK.EQ(V331, V$7:V$375,0)</f>
        <v>336</v>
      </c>
      <c r="X331" s="4">
        <v>0.42899999999999999</v>
      </c>
      <c r="Y331" s="2">
        <f t="shared" si="4532"/>
        <v>270</v>
      </c>
      <c r="Z331" s="2">
        <v>7</v>
      </c>
      <c r="AA331" s="2">
        <f t="shared" ref="AA331:AC331" si="4533">_xlfn.RANK.EQ(Z331, Z$7:Z$375,0)</f>
        <v>269</v>
      </c>
      <c r="AB331" s="2">
        <v>36</v>
      </c>
      <c r="AC331" s="2">
        <f t="shared" si="4533"/>
        <v>258</v>
      </c>
      <c r="AD331" s="4">
        <v>0.19400000000000001</v>
      </c>
      <c r="AE331" s="2">
        <f t="shared" ref="AE331:AG331" si="4534">_xlfn.RANK.EQ(AD331, AD$7:AD$375,0)</f>
        <v>310</v>
      </c>
      <c r="AF331" s="2">
        <v>1</v>
      </c>
      <c r="AG331" s="2">
        <f t="shared" si="4534"/>
        <v>330</v>
      </c>
      <c r="AH331" s="2">
        <v>2</v>
      </c>
      <c r="AI331" s="2">
        <f t="shared" ref="AI331:AK331" si="4535">_xlfn.RANK.EQ(AH331, AH$7:AH$375,0)</f>
        <v>333</v>
      </c>
      <c r="AJ331" s="4">
        <v>0.5</v>
      </c>
      <c r="AK331" s="2">
        <f t="shared" si="4535"/>
        <v>306</v>
      </c>
      <c r="AL331" s="2">
        <v>3</v>
      </c>
      <c r="AM331" s="2">
        <f t="shared" ref="AM331:AO331" si="4536">_xlfn.RANK.EQ(AL331, AL$7:AL$375,0)</f>
        <v>319</v>
      </c>
      <c r="AN331" s="2">
        <v>5</v>
      </c>
      <c r="AO331" s="2">
        <f t="shared" si="4536"/>
        <v>332</v>
      </c>
      <c r="AP331" s="2">
        <v>8</v>
      </c>
      <c r="AQ331" s="2">
        <f t="shared" ref="AQ331:AS331" si="4537">_xlfn.RANK.EQ(AP331, AP$7:AP$375,0)</f>
        <v>328</v>
      </c>
      <c r="AR331" s="2">
        <v>13</v>
      </c>
      <c r="AS331" s="2">
        <f t="shared" si="4537"/>
        <v>298</v>
      </c>
      <c r="AT331" s="2">
        <v>4</v>
      </c>
      <c r="AU331" s="2">
        <f t="shared" ref="AU331:AW331" si="4538">_xlfn.RANK.EQ(AT331, AT$7:AT$375,0)</f>
        <v>333</v>
      </c>
      <c r="AV331" s="2">
        <v>3</v>
      </c>
      <c r="AW331" s="2">
        <f t="shared" si="4538"/>
        <v>318</v>
      </c>
      <c r="AX331" s="2">
        <v>0</v>
      </c>
      <c r="AY331" s="2">
        <f t="shared" ref="AY331:BA331" si="4539">_xlfn.RANK.EQ(AX331, AX$7:AX$375,0)</f>
        <v>298</v>
      </c>
      <c r="AZ331" s="2">
        <v>1</v>
      </c>
      <c r="BA331" s="2">
        <f t="shared" si="4539"/>
        <v>308</v>
      </c>
      <c r="BB331" s="2">
        <v>19</v>
      </c>
      <c r="BC331" s="2">
        <f t="shared" ref="BC331:BE331" si="4540">_xlfn.RANK.EQ(BB331, BB$7:BB$375,0)</f>
        <v>323</v>
      </c>
      <c r="BD331" s="2">
        <v>2</v>
      </c>
      <c r="BE331" s="2">
        <f t="shared" si="4540"/>
        <v>342</v>
      </c>
      <c r="BF331" s="2">
        <v>-4</v>
      </c>
      <c r="BG331" s="2">
        <f t="shared" ref="BG331:BI331" si="4541">_xlfn.RANK.EQ(BF331, BF$7:BF$375,0)</f>
        <v>355</v>
      </c>
      <c r="BH331" s="2">
        <v>-22</v>
      </c>
      <c r="BI331" s="2">
        <f t="shared" si="4541"/>
        <v>197</v>
      </c>
    </row>
    <row r="332" spans="1:61" x14ac:dyDescent="0.55000000000000004">
      <c r="A332" s="2">
        <v>326</v>
      </c>
      <c r="B332" s="2" t="s">
        <v>382</v>
      </c>
      <c r="C332" s="2" t="s">
        <v>46</v>
      </c>
      <c r="D332" s="2">
        <v>9</v>
      </c>
      <c r="E332" s="2">
        <f t="shared" si="4485"/>
        <v>350</v>
      </c>
      <c r="F332" s="2">
        <v>6</v>
      </c>
      <c r="G332" s="2">
        <f t="shared" ref="G332:I332" si="4542">_xlfn.RANK.EQ(F332, F$7:F$375,0)</f>
        <v>228</v>
      </c>
      <c r="H332" s="3">
        <v>5.9034722222222218</v>
      </c>
      <c r="I332" s="2">
        <f t="shared" si="4542"/>
        <v>322</v>
      </c>
      <c r="J332" s="5">
        <v>0.65555555555555556</v>
      </c>
      <c r="K332" s="2">
        <f t="shared" ref="K332:M332" si="4543">_xlfn.RANK.EQ(J332, J$7:J$375,0)</f>
        <v>209</v>
      </c>
      <c r="L332" s="2">
        <v>24</v>
      </c>
      <c r="M332" s="2">
        <f t="shared" si="4543"/>
        <v>326</v>
      </c>
      <c r="N332" s="2">
        <v>8</v>
      </c>
      <c r="O332" s="2">
        <f t="shared" ref="O332:Q332" si="4544">_xlfn.RANK.EQ(N332, N$7:N$375,0)</f>
        <v>327</v>
      </c>
      <c r="P332" s="2">
        <v>36</v>
      </c>
      <c r="Q332" s="2">
        <f t="shared" si="4544"/>
        <v>319</v>
      </c>
      <c r="R332" s="4">
        <v>0.222</v>
      </c>
      <c r="S332" s="2">
        <f t="shared" ref="S332:U332" si="4545">_xlfn.RANK.EQ(R332, R$7:R$375,0)</f>
        <v>354</v>
      </c>
      <c r="T332" s="2">
        <v>5</v>
      </c>
      <c r="U332" s="2">
        <f t="shared" si="4545"/>
        <v>319</v>
      </c>
      <c r="V332" s="2">
        <v>14</v>
      </c>
      <c r="W332" s="2">
        <f t="shared" ref="W332:Y332" si="4546">_xlfn.RANK.EQ(V332, V$7:V$375,0)</f>
        <v>317</v>
      </c>
      <c r="X332" s="4">
        <v>0.35699999999999998</v>
      </c>
      <c r="Y332" s="2">
        <f t="shared" si="4546"/>
        <v>322</v>
      </c>
      <c r="Z332" s="2">
        <v>3</v>
      </c>
      <c r="AA332" s="2">
        <f t="shared" ref="AA332:AC332" si="4547">_xlfn.RANK.EQ(Z332, Z$7:Z$375,0)</f>
        <v>293</v>
      </c>
      <c r="AB332" s="2">
        <v>22</v>
      </c>
      <c r="AC332" s="2">
        <f t="shared" si="4547"/>
        <v>282</v>
      </c>
      <c r="AD332" s="4">
        <v>0.13600000000000001</v>
      </c>
      <c r="AE332" s="2">
        <f t="shared" ref="AE332:AG332" si="4548">_xlfn.RANK.EQ(AD332, AD$7:AD$375,0)</f>
        <v>320</v>
      </c>
      <c r="AF332" s="2">
        <v>5</v>
      </c>
      <c r="AG332" s="2">
        <f t="shared" si="4548"/>
        <v>297</v>
      </c>
      <c r="AH332" s="2">
        <v>6</v>
      </c>
      <c r="AI332" s="2">
        <f t="shared" ref="AI332:AK332" si="4549">_xlfn.RANK.EQ(AH332, AH$7:AH$375,0)</f>
        <v>307</v>
      </c>
      <c r="AJ332" s="4">
        <v>0.83299999999999996</v>
      </c>
      <c r="AK332" s="2">
        <f t="shared" si="4549"/>
        <v>50</v>
      </c>
      <c r="AL332" s="2">
        <v>5</v>
      </c>
      <c r="AM332" s="2">
        <f t="shared" ref="AM332:AO332" si="4550">_xlfn.RANK.EQ(AL332, AL$7:AL$375,0)</f>
        <v>298</v>
      </c>
      <c r="AN332" s="2">
        <v>9</v>
      </c>
      <c r="AO332" s="2">
        <f t="shared" si="4550"/>
        <v>313</v>
      </c>
      <c r="AP332" s="2">
        <v>14</v>
      </c>
      <c r="AQ332" s="2">
        <f t="shared" ref="AQ332:AS332" si="4551">_xlfn.RANK.EQ(AP332, AP$7:AP$375,0)</f>
        <v>311</v>
      </c>
      <c r="AR332" s="2">
        <v>31</v>
      </c>
      <c r="AS332" s="2">
        <f t="shared" si="4551"/>
        <v>246</v>
      </c>
      <c r="AT332" s="2">
        <v>12</v>
      </c>
      <c r="AU332" s="2">
        <f t="shared" ref="AU332:AW332" si="4552">_xlfn.RANK.EQ(AT332, AT$7:AT$375,0)</f>
        <v>295</v>
      </c>
      <c r="AV332" s="2">
        <v>13</v>
      </c>
      <c r="AW332" s="2">
        <f t="shared" si="4552"/>
        <v>252</v>
      </c>
      <c r="AX332" s="2">
        <v>0</v>
      </c>
      <c r="AY332" s="2">
        <f t="shared" ref="AY332:BA332" si="4553">_xlfn.RANK.EQ(AX332, AX$7:AX$375,0)</f>
        <v>298</v>
      </c>
      <c r="AZ332" s="2">
        <v>0</v>
      </c>
      <c r="BA332" s="2">
        <f t="shared" si="4553"/>
        <v>337</v>
      </c>
      <c r="BB332" s="2">
        <v>26</v>
      </c>
      <c r="BC332" s="2">
        <f t="shared" ref="BC332:BE332" si="4554">_xlfn.RANK.EQ(BB332, BB$7:BB$375,0)</f>
        <v>308</v>
      </c>
      <c r="BD332" s="2">
        <v>11</v>
      </c>
      <c r="BE332" s="2">
        <f t="shared" si="4554"/>
        <v>297</v>
      </c>
      <c r="BF332" s="2">
        <v>25</v>
      </c>
      <c r="BG332" s="2">
        <f t="shared" ref="BG332:BI332" si="4555">_xlfn.RANK.EQ(BF332, BF$7:BF$375,0)</f>
        <v>297</v>
      </c>
      <c r="BH332" s="2">
        <v>13</v>
      </c>
      <c r="BI332" s="2">
        <f t="shared" si="4555"/>
        <v>126</v>
      </c>
    </row>
    <row r="333" spans="1:61" x14ac:dyDescent="0.55000000000000004">
      <c r="A333" s="2">
        <v>327</v>
      </c>
      <c r="B333" s="2" t="s">
        <v>383</v>
      </c>
      <c r="C333" s="2" t="s">
        <v>57</v>
      </c>
      <c r="D333" s="2">
        <v>13</v>
      </c>
      <c r="E333" s="2">
        <f t="shared" si="4485"/>
        <v>342</v>
      </c>
      <c r="F333" s="2">
        <v>0</v>
      </c>
      <c r="G333" s="2">
        <f t="shared" ref="G333:I333" si="4556">_xlfn.RANK.EQ(F333, F$7:F$375,0)</f>
        <v>291</v>
      </c>
      <c r="H333" s="3">
        <v>5.5173611111111107</v>
      </c>
      <c r="I333" s="2">
        <f t="shared" si="4556"/>
        <v>323</v>
      </c>
      <c r="J333" s="5">
        <v>0.42430555555555555</v>
      </c>
      <c r="K333" s="2">
        <f t="shared" ref="K333:M333" si="4557">_xlfn.RANK.EQ(J333, J$7:J$375,0)</f>
        <v>272</v>
      </c>
      <c r="L333" s="2">
        <v>23</v>
      </c>
      <c r="M333" s="2">
        <f t="shared" si="4557"/>
        <v>327</v>
      </c>
      <c r="N333" s="2">
        <v>9</v>
      </c>
      <c r="O333" s="2">
        <f t="shared" ref="O333:Q333" si="4558">_xlfn.RANK.EQ(N333, N$7:N$375,0)</f>
        <v>325</v>
      </c>
      <c r="P333" s="2">
        <v>24</v>
      </c>
      <c r="Q333" s="2">
        <f t="shared" si="4558"/>
        <v>330</v>
      </c>
      <c r="R333" s="4">
        <v>0.375</v>
      </c>
      <c r="S333" s="2">
        <f t="shared" ref="S333:U333" si="4559">_xlfn.RANK.EQ(R333, R$7:R$375,0)</f>
        <v>238</v>
      </c>
      <c r="T333" s="2">
        <v>6</v>
      </c>
      <c r="U333" s="2">
        <f t="shared" si="4559"/>
        <v>314</v>
      </c>
      <c r="V333" s="2">
        <v>11</v>
      </c>
      <c r="W333" s="2">
        <f t="shared" ref="W333:Y333" si="4560">_xlfn.RANK.EQ(V333, V$7:V$375,0)</f>
        <v>323</v>
      </c>
      <c r="X333" s="4">
        <v>0.54500000000000004</v>
      </c>
      <c r="Y333" s="2">
        <f t="shared" si="4560"/>
        <v>117</v>
      </c>
      <c r="Z333" s="2">
        <v>3</v>
      </c>
      <c r="AA333" s="2">
        <f t="shared" ref="AA333:AC333" si="4561">_xlfn.RANK.EQ(Z333, Z$7:Z$375,0)</f>
        <v>293</v>
      </c>
      <c r="AB333" s="2">
        <v>13</v>
      </c>
      <c r="AC333" s="2">
        <f t="shared" si="4561"/>
        <v>298</v>
      </c>
      <c r="AD333" s="4">
        <v>0.23100000000000001</v>
      </c>
      <c r="AE333" s="2">
        <f t="shared" ref="AE333:AG333" si="4562">_xlfn.RANK.EQ(AD333, AD$7:AD$375,0)</f>
        <v>282</v>
      </c>
      <c r="AF333" s="2">
        <v>2</v>
      </c>
      <c r="AG333" s="2">
        <f t="shared" si="4562"/>
        <v>323</v>
      </c>
      <c r="AH333" s="2">
        <v>5</v>
      </c>
      <c r="AI333" s="2">
        <f t="shared" ref="AI333:AK333" si="4563">_xlfn.RANK.EQ(AH333, AH$7:AH$375,0)</f>
        <v>315</v>
      </c>
      <c r="AJ333" s="4">
        <v>0.4</v>
      </c>
      <c r="AK333" s="2">
        <f t="shared" si="4563"/>
        <v>341</v>
      </c>
      <c r="AL333" s="2">
        <v>4</v>
      </c>
      <c r="AM333" s="2">
        <f t="shared" ref="AM333:AO333" si="4564">_xlfn.RANK.EQ(AL333, AL$7:AL$375,0)</f>
        <v>305</v>
      </c>
      <c r="AN333" s="2">
        <v>12</v>
      </c>
      <c r="AO333" s="2">
        <f t="shared" si="4564"/>
        <v>305</v>
      </c>
      <c r="AP333" s="2">
        <v>16</v>
      </c>
      <c r="AQ333" s="2">
        <f t="shared" ref="AQ333:AS333" si="4565">_xlfn.RANK.EQ(AP333, AP$7:AP$375,0)</f>
        <v>307</v>
      </c>
      <c r="AR333" s="2">
        <v>6</v>
      </c>
      <c r="AS333" s="2">
        <f t="shared" si="4565"/>
        <v>321</v>
      </c>
      <c r="AT333" s="2">
        <v>6</v>
      </c>
      <c r="AU333" s="2">
        <f t="shared" ref="AU333:AW333" si="4566">_xlfn.RANK.EQ(AT333, AT$7:AT$375,0)</f>
        <v>323</v>
      </c>
      <c r="AV333" s="2">
        <v>1</v>
      </c>
      <c r="AW333" s="2">
        <f t="shared" si="4566"/>
        <v>335</v>
      </c>
      <c r="AX333" s="2">
        <v>2</v>
      </c>
      <c r="AY333" s="2">
        <f t="shared" ref="AY333:BA333" si="4567">_xlfn.RANK.EQ(AX333, AX$7:AX$375,0)</f>
        <v>234</v>
      </c>
      <c r="AZ333" s="2">
        <v>0</v>
      </c>
      <c r="BA333" s="2">
        <f t="shared" si="4567"/>
        <v>337</v>
      </c>
      <c r="BB333" s="2">
        <v>13</v>
      </c>
      <c r="BC333" s="2">
        <f t="shared" ref="BC333:BE333" si="4568">_xlfn.RANK.EQ(BB333, BB$7:BB$375,0)</f>
        <v>330</v>
      </c>
      <c r="BD333" s="2">
        <v>4</v>
      </c>
      <c r="BE333" s="2">
        <f t="shared" si="4568"/>
        <v>329</v>
      </c>
      <c r="BF333" s="2">
        <v>15</v>
      </c>
      <c r="BG333" s="2">
        <f t="shared" ref="BG333:BI333" si="4569">_xlfn.RANK.EQ(BF333, BF$7:BF$375,0)</f>
        <v>313</v>
      </c>
      <c r="BH333" s="2">
        <v>45</v>
      </c>
      <c r="BI333" s="2">
        <f t="shared" si="4569"/>
        <v>103</v>
      </c>
    </row>
    <row r="334" spans="1:61" x14ac:dyDescent="0.55000000000000004">
      <c r="A334" s="2">
        <v>328</v>
      </c>
      <c r="B334" s="2" t="s">
        <v>384</v>
      </c>
      <c r="C334" s="2" t="s">
        <v>62</v>
      </c>
      <c r="D334" s="2">
        <v>25</v>
      </c>
      <c r="E334" s="2">
        <f t="shared" si="4485"/>
        <v>303</v>
      </c>
      <c r="F334" s="2">
        <v>0</v>
      </c>
      <c r="G334" s="2">
        <f t="shared" ref="G334:I334" si="4570">_xlfn.RANK.EQ(F334, F$7:F$375,0)</f>
        <v>291</v>
      </c>
      <c r="H334" s="3">
        <v>2.5923611111111109</v>
      </c>
      <c r="I334" s="2">
        <f t="shared" si="4570"/>
        <v>339</v>
      </c>
      <c r="J334" s="5">
        <v>0.10347222222222222</v>
      </c>
      <c r="K334" s="2">
        <f t="shared" ref="K334:M334" si="4571">_xlfn.RANK.EQ(J334, J$7:J$375,0)</f>
        <v>351</v>
      </c>
      <c r="L334" s="2">
        <v>21</v>
      </c>
      <c r="M334" s="2">
        <f t="shared" si="4571"/>
        <v>328</v>
      </c>
      <c r="N334" s="2">
        <v>6</v>
      </c>
      <c r="O334" s="2">
        <f t="shared" ref="O334:Q334" si="4572">_xlfn.RANK.EQ(N334, N$7:N$375,0)</f>
        <v>332</v>
      </c>
      <c r="P334" s="2">
        <v>13</v>
      </c>
      <c r="Q334" s="2">
        <f t="shared" si="4572"/>
        <v>342</v>
      </c>
      <c r="R334" s="4">
        <v>0.46200000000000002</v>
      </c>
      <c r="S334" s="2">
        <f t="shared" ref="S334:U334" si="4573">_xlfn.RANK.EQ(R334, R$7:R$375,0)</f>
        <v>104</v>
      </c>
      <c r="T334" s="2">
        <v>4</v>
      </c>
      <c r="U334" s="2">
        <f t="shared" si="4573"/>
        <v>327</v>
      </c>
      <c r="V334" s="2">
        <v>10</v>
      </c>
      <c r="W334" s="2">
        <f t="shared" ref="W334:Y334" si="4574">_xlfn.RANK.EQ(V334, V$7:V$375,0)</f>
        <v>326</v>
      </c>
      <c r="X334" s="4">
        <v>0.4</v>
      </c>
      <c r="Y334" s="2">
        <f t="shared" si="4574"/>
        <v>293</v>
      </c>
      <c r="Z334" s="2">
        <v>2</v>
      </c>
      <c r="AA334" s="2">
        <f t="shared" ref="AA334:AC334" si="4575">_xlfn.RANK.EQ(Z334, Z$7:Z$375,0)</f>
        <v>304</v>
      </c>
      <c r="AB334" s="2">
        <v>3</v>
      </c>
      <c r="AC334" s="2">
        <f t="shared" si="4575"/>
        <v>328</v>
      </c>
      <c r="AD334" s="4">
        <v>0.66700000000000004</v>
      </c>
      <c r="AE334" s="2">
        <f t="shared" ref="AE334:AG334" si="4576">_xlfn.RANK.EQ(AD334, AD$7:AD$375,0)</f>
        <v>3</v>
      </c>
      <c r="AF334" s="2">
        <v>7</v>
      </c>
      <c r="AG334" s="2">
        <f t="shared" si="4576"/>
        <v>286</v>
      </c>
      <c r="AH334" s="2">
        <v>12</v>
      </c>
      <c r="AI334" s="2">
        <f t="shared" ref="AI334:AK334" si="4577">_xlfn.RANK.EQ(AH334, AH$7:AH$375,0)</f>
        <v>283</v>
      </c>
      <c r="AJ334" s="4">
        <v>0.58299999999999996</v>
      </c>
      <c r="AK334" s="2">
        <f t="shared" si="4577"/>
        <v>280</v>
      </c>
      <c r="AL334" s="2">
        <v>0</v>
      </c>
      <c r="AM334" s="2">
        <f t="shared" ref="AM334:AO334" si="4578">_xlfn.RANK.EQ(AL334, AL$7:AL$375,0)</f>
        <v>354</v>
      </c>
      <c r="AN334" s="2">
        <v>5</v>
      </c>
      <c r="AO334" s="2">
        <f t="shared" si="4578"/>
        <v>332</v>
      </c>
      <c r="AP334" s="2">
        <v>5</v>
      </c>
      <c r="AQ334" s="2">
        <f t="shared" ref="AQ334:AS334" si="4579">_xlfn.RANK.EQ(AP334, AP$7:AP$375,0)</f>
        <v>343</v>
      </c>
      <c r="AR334" s="2">
        <v>0</v>
      </c>
      <c r="AS334" s="2">
        <f t="shared" si="4579"/>
        <v>354</v>
      </c>
      <c r="AT334" s="2">
        <v>7</v>
      </c>
      <c r="AU334" s="2">
        <f t="shared" ref="AU334:AW334" si="4580">_xlfn.RANK.EQ(AT334, AT$7:AT$375,0)</f>
        <v>319</v>
      </c>
      <c r="AV334" s="2">
        <v>1</v>
      </c>
      <c r="AW334" s="2">
        <f t="shared" si="4580"/>
        <v>335</v>
      </c>
      <c r="AX334" s="2">
        <v>0</v>
      </c>
      <c r="AY334" s="2">
        <f t="shared" ref="AY334:BA334" si="4581">_xlfn.RANK.EQ(AX334, AX$7:AX$375,0)</f>
        <v>298</v>
      </c>
      <c r="AZ334" s="2">
        <v>0</v>
      </c>
      <c r="BA334" s="2">
        <f t="shared" si="4581"/>
        <v>337</v>
      </c>
      <c r="BB334" s="2">
        <v>7</v>
      </c>
      <c r="BC334" s="2">
        <f t="shared" ref="BC334:BE334" si="4582">_xlfn.RANK.EQ(BB334, BB$7:BB$375,0)</f>
        <v>344</v>
      </c>
      <c r="BD334" s="2">
        <v>6</v>
      </c>
      <c r="BE334" s="2">
        <f t="shared" si="4582"/>
        <v>317</v>
      </c>
      <c r="BF334" s="2">
        <v>7</v>
      </c>
      <c r="BG334" s="2">
        <f t="shared" ref="BG334:BI334" si="4583">_xlfn.RANK.EQ(BF334, BF$7:BF$375,0)</f>
        <v>329</v>
      </c>
      <c r="BH334" s="2">
        <v>-31</v>
      </c>
      <c r="BI334" s="2">
        <f t="shared" si="4583"/>
        <v>205</v>
      </c>
    </row>
    <row r="335" spans="1:61" x14ac:dyDescent="0.55000000000000004">
      <c r="A335" s="2">
        <v>328</v>
      </c>
      <c r="B335" s="2" t="s">
        <v>385</v>
      </c>
      <c r="C335" s="2" t="s">
        <v>36</v>
      </c>
      <c r="D335" s="2">
        <v>31</v>
      </c>
      <c r="E335" s="2">
        <f t="shared" si="4485"/>
        <v>281</v>
      </c>
      <c r="F335" s="2">
        <v>0</v>
      </c>
      <c r="G335" s="2">
        <f t="shared" ref="G335:I335" si="4584">_xlfn.RANK.EQ(F335, F$7:F$375,0)</f>
        <v>291</v>
      </c>
      <c r="H335" s="3">
        <v>4.2493055555555559</v>
      </c>
      <c r="I335" s="2">
        <f t="shared" si="4584"/>
        <v>330</v>
      </c>
      <c r="J335" s="5">
        <v>0.13680555555555557</v>
      </c>
      <c r="K335" s="2">
        <f t="shared" ref="K335:M335" si="4585">_xlfn.RANK.EQ(J335, J$7:J$375,0)</f>
        <v>344</v>
      </c>
      <c r="L335" s="2">
        <v>21</v>
      </c>
      <c r="M335" s="2">
        <f t="shared" si="4585"/>
        <v>328</v>
      </c>
      <c r="N335" s="2">
        <v>8</v>
      </c>
      <c r="O335" s="2">
        <f t="shared" ref="O335:Q335" si="4586">_xlfn.RANK.EQ(N335, N$7:N$375,0)</f>
        <v>327</v>
      </c>
      <c r="P335" s="2">
        <v>31</v>
      </c>
      <c r="Q335" s="2">
        <f t="shared" si="4586"/>
        <v>324</v>
      </c>
      <c r="R335" s="4">
        <v>0.25800000000000001</v>
      </c>
      <c r="S335" s="2">
        <f t="shared" ref="S335:U335" si="4587">_xlfn.RANK.EQ(R335, R$7:R$375,0)</f>
        <v>345</v>
      </c>
      <c r="T335" s="2">
        <v>5</v>
      </c>
      <c r="U335" s="2">
        <f t="shared" si="4587"/>
        <v>319</v>
      </c>
      <c r="V335" s="2">
        <v>20</v>
      </c>
      <c r="W335" s="2">
        <f t="shared" ref="W335:Y335" si="4588">_xlfn.RANK.EQ(V335, V$7:V$375,0)</f>
        <v>300</v>
      </c>
      <c r="X335" s="4">
        <v>0.25</v>
      </c>
      <c r="Y335" s="2">
        <f t="shared" si="4588"/>
        <v>349</v>
      </c>
      <c r="Z335" s="2">
        <v>3</v>
      </c>
      <c r="AA335" s="2">
        <f t="shared" ref="AA335:AC335" si="4589">_xlfn.RANK.EQ(Z335, Z$7:Z$375,0)</f>
        <v>293</v>
      </c>
      <c r="AB335" s="2">
        <v>11</v>
      </c>
      <c r="AC335" s="2">
        <f t="shared" si="4589"/>
        <v>302</v>
      </c>
      <c r="AD335" s="4">
        <v>0.27300000000000002</v>
      </c>
      <c r="AE335" s="2">
        <f t="shared" ref="AE335:AG335" si="4590">_xlfn.RANK.EQ(AD335, AD$7:AD$375,0)</f>
        <v>250</v>
      </c>
      <c r="AF335" s="2">
        <v>2</v>
      </c>
      <c r="AG335" s="2">
        <f t="shared" si="4590"/>
        <v>323</v>
      </c>
      <c r="AH335" s="2">
        <v>2</v>
      </c>
      <c r="AI335" s="2">
        <f t="shared" ref="AI335:AK335" si="4591">_xlfn.RANK.EQ(AH335, AH$7:AH$375,0)</f>
        <v>333</v>
      </c>
      <c r="AJ335" s="4">
        <v>1</v>
      </c>
      <c r="AK335" s="2">
        <f t="shared" si="4591"/>
        <v>1</v>
      </c>
      <c r="AL335" s="2">
        <v>4</v>
      </c>
      <c r="AM335" s="2">
        <f t="shared" ref="AM335:AO335" si="4592">_xlfn.RANK.EQ(AL335, AL$7:AL$375,0)</f>
        <v>305</v>
      </c>
      <c r="AN335" s="2">
        <v>9</v>
      </c>
      <c r="AO335" s="2">
        <f t="shared" si="4592"/>
        <v>313</v>
      </c>
      <c r="AP335" s="2">
        <v>13</v>
      </c>
      <c r="AQ335" s="2">
        <f t="shared" ref="AQ335:AS335" si="4593">_xlfn.RANK.EQ(AP335, AP$7:AP$375,0)</f>
        <v>316</v>
      </c>
      <c r="AR335" s="2">
        <v>5</v>
      </c>
      <c r="AS335" s="2">
        <f t="shared" si="4593"/>
        <v>324</v>
      </c>
      <c r="AT335" s="2">
        <v>1</v>
      </c>
      <c r="AU335" s="2">
        <f t="shared" ref="AU335:AW335" si="4594">_xlfn.RANK.EQ(AT335, AT$7:AT$375,0)</f>
        <v>350</v>
      </c>
      <c r="AV335" s="2">
        <v>5</v>
      </c>
      <c r="AW335" s="2">
        <f t="shared" si="4594"/>
        <v>303</v>
      </c>
      <c r="AX335" s="2">
        <v>0</v>
      </c>
      <c r="AY335" s="2">
        <f t="shared" ref="AY335:BA335" si="4595">_xlfn.RANK.EQ(AX335, AX$7:AX$375,0)</f>
        <v>298</v>
      </c>
      <c r="AZ335" s="2">
        <v>2</v>
      </c>
      <c r="BA335" s="2">
        <f t="shared" si="4595"/>
        <v>285</v>
      </c>
      <c r="BB335" s="2">
        <v>22</v>
      </c>
      <c r="BC335" s="2">
        <f t="shared" ref="BC335:BE335" si="4596">_xlfn.RANK.EQ(BB335, BB$7:BB$375,0)</f>
        <v>314</v>
      </c>
      <c r="BD335" s="2">
        <v>3</v>
      </c>
      <c r="BE335" s="2">
        <f t="shared" si="4596"/>
        <v>334</v>
      </c>
      <c r="BF335" s="2">
        <v>-1</v>
      </c>
      <c r="BG335" s="2">
        <f t="shared" ref="BG335:BI335" si="4597">_xlfn.RANK.EQ(BF335, BF$7:BF$375,0)</f>
        <v>344</v>
      </c>
      <c r="BH335" s="2">
        <v>11</v>
      </c>
      <c r="BI335" s="2">
        <f t="shared" si="4597"/>
        <v>130</v>
      </c>
    </row>
    <row r="336" spans="1:61" x14ac:dyDescent="0.55000000000000004">
      <c r="A336" s="2">
        <v>330</v>
      </c>
      <c r="B336" s="2" t="s">
        <v>386</v>
      </c>
      <c r="C336" s="2" t="s">
        <v>42</v>
      </c>
      <c r="D336" s="2">
        <v>26</v>
      </c>
      <c r="E336" s="2">
        <f t="shared" si="4485"/>
        <v>298</v>
      </c>
      <c r="F336" s="2">
        <v>0</v>
      </c>
      <c r="G336" s="2">
        <f t="shared" ref="G336:I336" si="4598">_xlfn.RANK.EQ(F336, F$7:F$375,0)</f>
        <v>291</v>
      </c>
      <c r="H336" s="3">
        <v>2.5194444444444444</v>
      </c>
      <c r="I336" s="2">
        <f t="shared" si="4598"/>
        <v>341</v>
      </c>
      <c r="J336" s="5">
        <v>9.6527777777777782E-2</v>
      </c>
      <c r="K336" s="2">
        <f t="shared" ref="K336:M336" si="4599">_xlfn.RANK.EQ(J336, J$7:J$375,0)</f>
        <v>354</v>
      </c>
      <c r="L336" s="2">
        <v>20</v>
      </c>
      <c r="M336" s="2">
        <f t="shared" si="4599"/>
        <v>330</v>
      </c>
      <c r="N336" s="2">
        <v>8</v>
      </c>
      <c r="O336" s="2">
        <f t="shared" ref="O336:Q336" si="4600">_xlfn.RANK.EQ(N336, N$7:N$375,0)</f>
        <v>327</v>
      </c>
      <c r="P336" s="2">
        <v>26</v>
      </c>
      <c r="Q336" s="2">
        <f t="shared" si="4600"/>
        <v>328</v>
      </c>
      <c r="R336" s="4">
        <v>0.308</v>
      </c>
      <c r="S336" s="2">
        <f t="shared" ref="S336:U336" si="4601">_xlfn.RANK.EQ(R336, R$7:R$375,0)</f>
        <v>325</v>
      </c>
      <c r="T336" s="2">
        <v>5</v>
      </c>
      <c r="U336" s="2">
        <f t="shared" si="4601"/>
        <v>319</v>
      </c>
      <c r="V336" s="2">
        <v>11</v>
      </c>
      <c r="W336" s="2">
        <f t="shared" ref="W336:Y336" si="4602">_xlfn.RANK.EQ(V336, V$7:V$375,0)</f>
        <v>323</v>
      </c>
      <c r="X336" s="4">
        <v>0.45500000000000002</v>
      </c>
      <c r="Y336" s="2">
        <f t="shared" si="4602"/>
        <v>237</v>
      </c>
      <c r="Z336" s="2">
        <v>3</v>
      </c>
      <c r="AA336" s="2">
        <f t="shared" ref="AA336:AC336" si="4603">_xlfn.RANK.EQ(Z336, Z$7:Z$375,0)</f>
        <v>293</v>
      </c>
      <c r="AB336" s="2">
        <v>15</v>
      </c>
      <c r="AC336" s="2">
        <f t="shared" si="4603"/>
        <v>295</v>
      </c>
      <c r="AD336" s="4">
        <v>0.2</v>
      </c>
      <c r="AE336" s="2">
        <f t="shared" ref="AE336:AG336" si="4604">_xlfn.RANK.EQ(AD336, AD$7:AD$375,0)</f>
        <v>303</v>
      </c>
      <c r="AF336" s="2">
        <v>1</v>
      </c>
      <c r="AG336" s="2">
        <f t="shared" si="4604"/>
        <v>330</v>
      </c>
      <c r="AH336" s="2">
        <v>1</v>
      </c>
      <c r="AI336" s="2">
        <f t="shared" ref="AI336:AK336" si="4605">_xlfn.RANK.EQ(AH336, AH$7:AH$375,0)</f>
        <v>349</v>
      </c>
      <c r="AJ336" s="4">
        <v>1</v>
      </c>
      <c r="AK336" s="2">
        <f t="shared" si="4605"/>
        <v>1</v>
      </c>
      <c r="AL336" s="2">
        <v>1</v>
      </c>
      <c r="AM336" s="2">
        <f t="shared" ref="AM336:AO336" si="4606">_xlfn.RANK.EQ(AL336, AL$7:AL$375,0)</f>
        <v>341</v>
      </c>
      <c r="AN336" s="2">
        <v>2</v>
      </c>
      <c r="AO336" s="2">
        <f t="shared" si="4606"/>
        <v>350</v>
      </c>
      <c r="AP336" s="2">
        <v>3</v>
      </c>
      <c r="AQ336" s="2">
        <f t="shared" ref="AQ336:AS336" si="4607">_xlfn.RANK.EQ(AP336, AP$7:AP$375,0)</f>
        <v>352</v>
      </c>
      <c r="AR336" s="2">
        <v>4</v>
      </c>
      <c r="AS336" s="2">
        <f t="shared" si="4607"/>
        <v>327</v>
      </c>
      <c r="AT336" s="2">
        <v>16</v>
      </c>
      <c r="AU336" s="2">
        <f t="shared" ref="AU336:AW336" si="4608">_xlfn.RANK.EQ(AT336, AT$7:AT$375,0)</f>
        <v>278</v>
      </c>
      <c r="AV336" s="2">
        <v>1</v>
      </c>
      <c r="AW336" s="2">
        <f t="shared" si="4608"/>
        <v>335</v>
      </c>
      <c r="AX336" s="2">
        <v>0</v>
      </c>
      <c r="AY336" s="2">
        <f t="shared" ref="AY336:BA336" si="4609">_xlfn.RANK.EQ(AX336, AX$7:AX$375,0)</f>
        <v>298</v>
      </c>
      <c r="AZ336" s="2">
        <v>1</v>
      </c>
      <c r="BA336" s="2">
        <f t="shared" si="4609"/>
        <v>308</v>
      </c>
      <c r="BB336" s="2">
        <v>11</v>
      </c>
      <c r="BC336" s="2">
        <f t="shared" ref="BC336:BE336" si="4610">_xlfn.RANK.EQ(BB336, BB$7:BB$375,0)</f>
        <v>335</v>
      </c>
      <c r="BD336" s="2">
        <v>6</v>
      </c>
      <c r="BE336" s="2">
        <f t="shared" si="4610"/>
        <v>317</v>
      </c>
      <c r="BF336" s="2">
        <v>-12</v>
      </c>
      <c r="BG336" s="2">
        <f t="shared" ref="BG336:BI336" si="4611">_xlfn.RANK.EQ(BF336, BF$7:BF$375,0)</f>
        <v>367</v>
      </c>
      <c r="BH336" s="2">
        <v>-59</v>
      </c>
      <c r="BI336" s="2">
        <f t="shared" si="4611"/>
        <v>247</v>
      </c>
    </row>
    <row r="337" spans="1:61" x14ac:dyDescent="0.55000000000000004">
      <c r="A337" s="2">
        <v>331</v>
      </c>
      <c r="B337" s="2" t="s">
        <v>387</v>
      </c>
      <c r="C337" s="2" t="s">
        <v>40</v>
      </c>
      <c r="D337" s="2">
        <v>21</v>
      </c>
      <c r="E337" s="2">
        <f t="shared" si="4485"/>
        <v>314</v>
      </c>
      <c r="F337" s="2">
        <v>0</v>
      </c>
      <c r="G337" s="2">
        <f t="shared" ref="G337:I337" si="4612">_xlfn.RANK.EQ(F337, F$7:F$375,0)</f>
        <v>291</v>
      </c>
      <c r="H337" s="3">
        <v>3.1451388888888889</v>
      </c>
      <c r="I337" s="2">
        <f t="shared" si="4612"/>
        <v>337</v>
      </c>
      <c r="J337" s="5">
        <v>0.14930555555555555</v>
      </c>
      <c r="K337" s="2">
        <f t="shared" ref="K337:M337" si="4613">_xlfn.RANK.EQ(J337, J$7:J$375,0)</f>
        <v>341</v>
      </c>
      <c r="L337" s="2">
        <v>19</v>
      </c>
      <c r="M337" s="2">
        <f t="shared" si="4613"/>
        <v>331</v>
      </c>
      <c r="N337" s="2">
        <v>6</v>
      </c>
      <c r="O337" s="2">
        <f t="shared" ref="O337:Q337" si="4614">_xlfn.RANK.EQ(N337, N$7:N$375,0)</f>
        <v>332</v>
      </c>
      <c r="P337" s="2">
        <v>17</v>
      </c>
      <c r="Q337" s="2">
        <f t="shared" si="4614"/>
        <v>333</v>
      </c>
      <c r="R337" s="4">
        <v>0.35299999999999998</v>
      </c>
      <c r="S337" s="2">
        <f t="shared" ref="S337:U337" si="4615">_xlfn.RANK.EQ(R337, R$7:R$375,0)</f>
        <v>275</v>
      </c>
      <c r="T337" s="2">
        <v>2</v>
      </c>
      <c r="U337" s="2">
        <f t="shared" si="4615"/>
        <v>341</v>
      </c>
      <c r="V337" s="2">
        <v>5</v>
      </c>
      <c r="W337" s="2">
        <f t="shared" ref="W337:Y337" si="4616">_xlfn.RANK.EQ(V337, V$7:V$375,0)</f>
        <v>346</v>
      </c>
      <c r="X337" s="4">
        <v>0.4</v>
      </c>
      <c r="Y337" s="2">
        <f t="shared" si="4616"/>
        <v>293</v>
      </c>
      <c r="Z337" s="2">
        <v>4</v>
      </c>
      <c r="AA337" s="2">
        <f t="shared" ref="AA337:AC337" si="4617">_xlfn.RANK.EQ(Z337, Z$7:Z$375,0)</f>
        <v>284</v>
      </c>
      <c r="AB337" s="2">
        <v>12</v>
      </c>
      <c r="AC337" s="2">
        <f t="shared" si="4617"/>
        <v>301</v>
      </c>
      <c r="AD337" s="4">
        <v>0.33300000000000002</v>
      </c>
      <c r="AE337" s="2">
        <f t="shared" ref="AE337:AG337" si="4618">_xlfn.RANK.EQ(AD337, AD$7:AD$375,0)</f>
        <v>149</v>
      </c>
      <c r="AF337" s="2">
        <v>3</v>
      </c>
      <c r="AG337" s="2">
        <f t="shared" si="4618"/>
        <v>314</v>
      </c>
      <c r="AH337" s="2">
        <v>4</v>
      </c>
      <c r="AI337" s="2">
        <f t="shared" ref="AI337:AK337" si="4619">_xlfn.RANK.EQ(AH337, AH$7:AH$375,0)</f>
        <v>321</v>
      </c>
      <c r="AJ337" s="4">
        <v>0.75</v>
      </c>
      <c r="AK337" s="2">
        <f t="shared" si="4619"/>
        <v>148</v>
      </c>
      <c r="AL337" s="2">
        <v>2</v>
      </c>
      <c r="AM337" s="2">
        <f t="shared" ref="AM337:AO337" si="4620">_xlfn.RANK.EQ(AL337, AL$7:AL$375,0)</f>
        <v>332</v>
      </c>
      <c r="AN337" s="2">
        <v>3</v>
      </c>
      <c r="AO337" s="2">
        <f t="shared" si="4620"/>
        <v>342</v>
      </c>
      <c r="AP337" s="2">
        <v>5</v>
      </c>
      <c r="AQ337" s="2">
        <f t="shared" ref="AQ337:AS337" si="4621">_xlfn.RANK.EQ(AP337, AP$7:AP$375,0)</f>
        <v>343</v>
      </c>
      <c r="AR337" s="2">
        <v>2</v>
      </c>
      <c r="AS337" s="2">
        <f t="shared" si="4621"/>
        <v>343</v>
      </c>
      <c r="AT337" s="2">
        <v>6</v>
      </c>
      <c r="AU337" s="2">
        <f t="shared" ref="AU337:AW337" si="4622">_xlfn.RANK.EQ(AT337, AT$7:AT$375,0)</f>
        <v>323</v>
      </c>
      <c r="AV337" s="2">
        <v>1</v>
      </c>
      <c r="AW337" s="2">
        <f t="shared" si="4622"/>
        <v>335</v>
      </c>
      <c r="AX337" s="2">
        <v>0</v>
      </c>
      <c r="AY337" s="2">
        <f t="shared" ref="AY337:BA337" si="4623">_xlfn.RANK.EQ(AX337, AX$7:AX$375,0)</f>
        <v>298</v>
      </c>
      <c r="AZ337" s="2">
        <v>1</v>
      </c>
      <c r="BA337" s="2">
        <f t="shared" si="4623"/>
        <v>308</v>
      </c>
      <c r="BB337" s="2">
        <v>17</v>
      </c>
      <c r="BC337" s="2">
        <f t="shared" ref="BC337:BE337" si="4624">_xlfn.RANK.EQ(BB337, BB$7:BB$375,0)</f>
        <v>325</v>
      </c>
      <c r="BD337" s="2">
        <v>2</v>
      </c>
      <c r="BE337" s="2">
        <f t="shared" si="4624"/>
        <v>342</v>
      </c>
      <c r="BF337" s="2">
        <v>-7</v>
      </c>
      <c r="BG337" s="2">
        <f t="shared" ref="BG337:BI337" si="4625">_xlfn.RANK.EQ(BF337, BF$7:BF$375,0)</f>
        <v>363</v>
      </c>
      <c r="BH337" s="2">
        <v>-55</v>
      </c>
      <c r="BI337" s="2">
        <f t="shared" si="4625"/>
        <v>239</v>
      </c>
    </row>
    <row r="338" spans="1:61" x14ac:dyDescent="0.55000000000000004">
      <c r="A338" s="2">
        <v>331</v>
      </c>
      <c r="B338" s="2" t="s">
        <v>388</v>
      </c>
      <c r="C338" s="2" t="s">
        <v>32</v>
      </c>
      <c r="D338" s="2">
        <v>27</v>
      </c>
      <c r="E338" s="2">
        <f t="shared" si="4485"/>
        <v>294</v>
      </c>
      <c r="F338" s="2">
        <v>0</v>
      </c>
      <c r="G338" s="2">
        <f t="shared" ref="G338:I338" si="4626">_xlfn.RANK.EQ(F338, F$7:F$375,0)</f>
        <v>291</v>
      </c>
      <c r="H338" s="3">
        <v>2.53125</v>
      </c>
      <c r="I338" s="2">
        <f t="shared" si="4626"/>
        <v>340</v>
      </c>
      <c r="J338" s="5">
        <v>9.375E-2</v>
      </c>
      <c r="K338" s="2">
        <f t="shared" ref="K338:M338" si="4627">_xlfn.RANK.EQ(J338, J$7:J$375,0)</f>
        <v>356</v>
      </c>
      <c r="L338" s="2">
        <v>19</v>
      </c>
      <c r="M338" s="2">
        <f t="shared" si="4627"/>
        <v>331</v>
      </c>
      <c r="N338" s="2">
        <v>5</v>
      </c>
      <c r="O338" s="2">
        <f t="shared" ref="O338:Q338" si="4628">_xlfn.RANK.EQ(N338, N$7:N$375,0)</f>
        <v>339</v>
      </c>
      <c r="P338" s="2">
        <v>28</v>
      </c>
      <c r="Q338" s="2">
        <f t="shared" si="4628"/>
        <v>327</v>
      </c>
      <c r="R338" s="4">
        <v>0.17899999999999999</v>
      </c>
      <c r="S338" s="2">
        <f t="shared" ref="S338:U338" si="4629">_xlfn.RANK.EQ(R338, R$7:R$375,0)</f>
        <v>358</v>
      </c>
      <c r="T338" s="2">
        <v>3</v>
      </c>
      <c r="U338" s="2">
        <f t="shared" si="4629"/>
        <v>334</v>
      </c>
      <c r="V338" s="2">
        <v>8</v>
      </c>
      <c r="W338" s="2">
        <f t="shared" ref="W338:Y338" si="4630">_xlfn.RANK.EQ(V338, V$7:V$375,0)</f>
        <v>332</v>
      </c>
      <c r="X338" s="4">
        <v>0.375</v>
      </c>
      <c r="Y338" s="2">
        <f t="shared" si="4630"/>
        <v>311</v>
      </c>
      <c r="Z338" s="2">
        <v>2</v>
      </c>
      <c r="AA338" s="2">
        <f t="shared" ref="AA338:AC338" si="4631">_xlfn.RANK.EQ(Z338, Z$7:Z$375,0)</f>
        <v>304</v>
      </c>
      <c r="AB338" s="2">
        <v>20</v>
      </c>
      <c r="AC338" s="2">
        <f t="shared" si="4631"/>
        <v>286</v>
      </c>
      <c r="AD338" s="4">
        <v>0.1</v>
      </c>
      <c r="AE338" s="2">
        <f t="shared" ref="AE338:AG338" si="4632">_xlfn.RANK.EQ(AD338, AD$7:AD$375,0)</f>
        <v>327</v>
      </c>
      <c r="AF338" s="2">
        <v>7</v>
      </c>
      <c r="AG338" s="2">
        <f t="shared" si="4632"/>
        <v>286</v>
      </c>
      <c r="AH338" s="2">
        <v>11</v>
      </c>
      <c r="AI338" s="2">
        <f t="shared" ref="AI338:AK338" si="4633">_xlfn.RANK.EQ(AH338, AH$7:AH$375,0)</f>
        <v>287</v>
      </c>
      <c r="AJ338" s="4">
        <v>0.63600000000000001</v>
      </c>
      <c r="AK338" s="2">
        <f t="shared" si="4633"/>
        <v>251</v>
      </c>
      <c r="AL338" s="2">
        <v>4</v>
      </c>
      <c r="AM338" s="2">
        <f t="shared" ref="AM338:AO338" si="4634">_xlfn.RANK.EQ(AL338, AL$7:AL$375,0)</f>
        <v>305</v>
      </c>
      <c r="AN338" s="2">
        <v>7</v>
      </c>
      <c r="AO338" s="2">
        <f t="shared" si="4634"/>
        <v>325</v>
      </c>
      <c r="AP338" s="2">
        <v>11</v>
      </c>
      <c r="AQ338" s="2">
        <f t="shared" ref="AQ338:AS338" si="4635">_xlfn.RANK.EQ(AP338, AP$7:AP$375,0)</f>
        <v>323</v>
      </c>
      <c r="AR338" s="2">
        <v>3</v>
      </c>
      <c r="AS338" s="2">
        <f t="shared" si="4635"/>
        <v>337</v>
      </c>
      <c r="AT338" s="2">
        <v>6</v>
      </c>
      <c r="AU338" s="2">
        <f t="shared" ref="AU338:AW338" si="4636">_xlfn.RANK.EQ(AT338, AT$7:AT$375,0)</f>
        <v>323</v>
      </c>
      <c r="AV338" s="2">
        <v>2</v>
      </c>
      <c r="AW338" s="2">
        <f t="shared" si="4636"/>
        <v>327</v>
      </c>
      <c r="AX338" s="2">
        <v>2</v>
      </c>
      <c r="AY338" s="2">
        <f t="shared" ref="AY338:BA338" si="4637">_xlfn.RANK.EQ(AX338, AX$7:AX$375,0)</f>
        <v>234</v>
      </c>
      <c r="AZ338" s="2">
        <v>1</v>
      </c>
      <c r="BA338" s="2">
        <f t="shared" si="4637"/>
        <v>308</v>
      </c>
      <c r="BB338" s="2">
        <v>8</v>
      </c>
      <c r="BC338" s="2">
        <f t="shared" ref="BC338:BE338" si="4638">_xlfn.RANK.EQ(BB338, BB$7:BB$375,0)</f>
        <v>339</v>
      </c>
      <c r="BD338" s="2">
        <v>7</v>
      </c>
      <c r="BE338" s="2">
        <f t="shared" si="4638"/>
        <v>312</v>
      </c>
      <c r="BF338" s="2">
        <v>2</v>
      </c>
      <c r="BG338" s="2">
        <f t="shared" ref="BG338:BI338" si="4639">_xlfn.RANK.EQ(BF338, BF$7:BF$375,0)</f>
        <v>338</v>
      </c>
      <c r="BH338" s="2">
        <v>-33</v>
      </c>
      <c r="BI338" s="2">
        <f t="shared" si="4639"/>
        <v>210</v>
      </c>
    </row>
    <row r="339" spans="1:61" x14ac:dyDescent="0.55000000000000004">
      <c r="A339" s="2">
        <v>333</v>
      </c>
      <c r="B339" s="2" t="s">
        <v>389</v>
      </c>
      <c r="C339" s="2" t="s">
        <v>50</v>
      </c>
      <c r="D339" s="2">
        <v>26</v>
      </c>
      <c r="E339" s="2">
        <f t="shared" si="4485"/>
        <v>298</v>
      </c>
      <c r="F339" s="2">
        <v>0</v>
      </c>
      <c r="G339" s="2">
        <f t="shared" ref="G339:I339" si="4640">_xlfn.RANK.EQ(F339, F$7:F$375,0)</f>
        <v>291</v>
      </c>
      <c r="H339" s="3">
        <v>2.0840277777777776</v>
      </c>
      <c r="I339" s="2">
        <f t="shared" si="4640"/>
        <v>344</v>
      </c>
      <c r="J339" s="5">
        <v>7.9861111111111105E-2</v>
      </c>
      <c r="K339" s="2">
        <f t="shared" ref="K339:M339" si="4641">_xlfn.RANK.EQ(J339, J$7:J$375,0)</f>
        <v>360</v>
      </c>
      <c r="L339" s="2">
        <v>18</v>
      </c>
      <c r="M339" s="2">
        <f t="shared" si="4641"/>
        <v>333</v>
      </c>
      <c r="N339" s="2">
        <v>7</v>
      </c>
      <c r="O339" s="2">
        <f t="shared" ref="O339:Q339" si="4642">_xlfn.RANK.EQ(N339, N$7:N$375,0)</f>
        <v>330</v>
      </c>
      <c r="P339" s="2">
        <v>14</v>
      </c>
      <c r="Q339" s="2">
        <f t="shared" si="4642"/>
        <v>339</v>
      </c>
      <c r="R339" s="4">
        <v>0.5</v>
      </c>
      <c r="S339" s="2">
        <f t="shared" ref="S339:U339" si="4643">_xlfn.RANK.EQ(R339, R$7:R$375,0)</f>
        <v>66</v>
      </c>
      <c r="T339" s="2">
        <v>4</v>
      </c>
      <c r="U339" s="2">
        <f t="shared" si="4643"/>
        <v>327</v>
      </c>
      <c r="V339" s="2">
        <v>6</v>
      </c>
      <c r="W339" s="2">
        <f t="shared" ref="W339:Y339" si="4644">_xlfn.RANK.EQ(V339, V$7:V$375,0)</f>
        <v>338</v>
      </c>
      <c r="X339" s="4">
        <v>0.66700000000000004</v>
      </c>
      <c r="Y339" s="2">
        <f t="shared" si="4644"/>
        <v>15</v>
      </c>
      <c r="Z339" s="2">
        <v>3</v>
      </c>
      <c r="AA339" s="2">
        <f t="shared" ref="AA339:AC339" si="4645">_xlfn.RANK.EQ(Z339, Z$7:Z$375,0)</f>
        <v>293</v>
      </c>
      <c r="AB339" s="2">
        <v>8</v>
      </c>
      <c r="AC339" s="2">
        <f t="shared" si="4645"/>
        <v>314</v>
      </c>
      <c r="AD339" s="4">
        <v>0.375</v>
      </c>
      <c r="AE339" s="2">
        <f t="shared" ref="AE339:AG339" si="4646">_xlfn.RANK.EQ(AD339, AD$7:AD$375,0)</f>
        <v>70</v>
      </c>
      <c r="AF339" s="2">
        <v>1</v>
      </c>
      <c r="AG339" s="2">
        <f t="shared" si="4646"/>
        <v>330</v>
      </c>
      <c r="AH339" s="2">
        <v>2</v>
      </c>
      <c r="AI339" s="2">
        <f t="shared" ref="AI339:AK339" si="4647">_xlfn.RANK.EQ(AH339, AH$7:AH$375,0)</f>
        <v>333</v>
      </c>
      <c r="AJ339" s="4">
        <v>0.5</v>
      </c>
      <c r="AK339" s="2">
        <f t="shared" si="4647"/>
        <v>306</v>
      </c>
      <c r="AL339" s="2">
        <v>0</v>
      </c>
      <c r="AM339" s="2">
        <f t="shared" ref="AM339:AO339" si="4648">_xlfn.RANK.EQ(AL339, AL$7:AL$375,0)</f>
        <v>354</v>
      </c>
      <c r="AN339" s="2">
        <v>8</v>
      </c>
      <c r="AO339" s="2">
        <f t="shared" si="4648"/>
        <v>318</v>
      </c>
      <c r="AP339" s="2">
        <v>8</v>
      </c>
      <c r="AQ339" s="2">
        <f t="shared" ref="AQ339:AS339" si="4649">_xlfn.RANK.EQ(AP339, AP$7:AP$375,0)</f>
        <v>328</v>
      </c>
      <c r="AR339" s="2">
        <v>4</v>
      </c>
      <c r="AS339" s="2">
        <f t="shared" si="4649"/>
        <v>327</v>
      </c>
      <c r="AT339" s="2">
        <v>2</v>
      </c>
      <c r="AU339" s="2">
        <f t="shared" ref="AU339:AW339" si="4650">_xlfn.RANK.EQ(AT339, AT$7:AT$375,0)</f>
        <v>347</v>
      </c>
      <c r="AV339" s="2">
        <v>3</v>
      </c>
      <c r="AW339" s="2">
        <f t="shared" si="4650"/>
        <v>318</v>
      </c>
      <c r="AX339" s="2">
        <v>0</v>
      </c>
      <c r="AY339" s="2">
        <f t="shared" ref="AY339:BA339" si="4651">_xlfn.RANK.EQ(AX339, AX$7:AX$375,0)</f>
        <v>298</v>
      </c>
      <c r="AZ339" s="2">
        <v>1</v>
      </c>
      <c r="BA339" s="2">
        <f t="shared" si="4651"/>
        <v>308</v>
      </c>
      <c r="BB339" s="2">
        <v>2</v>
      </c>
      <c r="BC339" s="2">
        <f t="shared" ref="BC339:BE339" si="4652">_xlfn.RANK.EQ(BB339, BB$7:BB$375,0)</f>
        <v>355</v>
      </c>
      <c r="BD339" s="2">
        <v>1</v>
      </c>
      <c r="BE339" s="2">
        <f t="shared" si="4652"/>
        <v>348</v>
      </c>
      <c r="BF339" s="2">
        <v>21</v>
      </c>
      <c r="BG339" s="2">
        <f t="shared" ref="BG339:BI339" si="4653">_xlfn.RANK.EQ(BF339, BF$7:BF$375,0)</f>
        <v>302</v>
      </c>
      <c r="BH339" s="2">
        <v>1</v>
      </c>
      <c r="BI339" s="2">
        <f t="shared" si="4653"/>
        <v>147</v>
      </c>
    </row>
    <row r="340" spans="1:61" x14ac:dyDescent="0.55000000000000004">
      <c r="A340" s="2">
        <v>334</v>
      </c>
      <c r="B340" s="2" t="s">
        <v>390</v>
      </c>
      <c r="C340" s="2" t="s">
        <v>113</v>
      </c>
      <c r="D340" s="2">
        <v>23</v>
      </c>
      <c r="E340" s="2">
        <f t="shared" si="4485"/>
        <v>309</v>
      </c>
      <c r="F340" s="2">
        <v>0</v>
      </c>
      <c r="G340" s="2">
        <f t="shared" ref="G340:I340" si="4654">_xlfn.RANK.EQ(F340, F$7:F$375,0)</f>
        <v>291</v>
      </c>
      <c r="H340" s="3">
        <v>4.8680555555555554</v>
      </c>
      <c r="I340" s="2">
        <f t="shared" si="4654"/>
        <v>327</v>
      </c>
      <c r="J340" s="5">
        <v>0.21111111111111111</v>
      </c>
      <c r="K340" s="2">
        <f t="shared" ref="K340:M340" si="4655">_xlfn.RANK.EQ(J340, J$7:J$375,0)</f>
        <v>322</v>
      </c>
      <c r="L340" s="2">
        <v>17</v>
      </c>
      <c r="M340" s="2">
        <f t="shared" si="4655"/>
        <v>334</v>
      </c>
      <c r="N340" s="2">
        <v>5</v>
      </c>
      <c r="O340" s="2">
        <f t="shared" ref="O340:Q340" si="4656">_xlfn.RANK.EQ(N340, N$7:N$375,0)</f>
        <v>339</v>
      </c>
      <c r="P340" s="2">
        <v>20</v>
      </c>
      <c r="Q340" s="2">
        <f t="shared" si="4656"/>
        <v>331</v>
      </c>
      <c r="R340" s="4">
        <v>0.25</v>
      </c>
      <c r="S340" s="2">
        <f t="shared" ref="S340:U340" si="4657">_xlfn.RANK.EQ(R340, R$7:R$375,0)</f>
        <v>346</v>
      </c>
      <c r="T340" s="2">
        <v>1</v>
      </c>
      <c r="U340" s="2">
        <f t="shared" si="4657"/>
        <v>347</v>
      </c>
      <c r="V340" s="2">
        <v>4</v>
      </c>
      <c r="W340" s="2">
        <f t="shared" ref="W340:Y340" si="4658">_xlfn.RANK.EQ(V340, V$7:V$375,0)</f>
        <v>348</v>
      </c>
      <c r="X340" s="4">
        <v>0.25</v>
      </c>
      <c r="Y340" s="2">
        <f t="shared" si="4658"/>
        <v>349</v>
      </c>
      <c r="Z340" s="2">
        <v>4</v>
      </c>
      <c r="AA340" s="2">
        <f t="shared" ref="AA340:AC340" si="4659">_xlfn.RANK.EQ(Z340, Z$7:Z$375,0)</f>
        <v>284</v>
      </c>
      <c r="AB340" s="2">
        <v>16</v>
      </c>
      <c r="AC340" s="2">
        <f t="shared" si="4659"/>
        <v>292</v>
      </c>
      <c r="AD340" s="4">
        <v>0.25</v>
      </c>
      <c r="AE340" s="2">
        <f t="shared" ref="AE340:AG340" si="4660">_xlfn.RANK.EQ(AD340, AD$7:AD$375,0)</f>
        <v>268</v>
      </c>
      <c r="AF340" s="2">
        <v>3</v>
      </c>
      <c r="AG340" s="2">
        <f t="shared" si="4660"/>
        <v>314</v>
      </c>
      <c r="AH340" s="2">
        <v>6</v>
      </c>
      <c r="AI340" s="2">
        <f t="shared" ref="AI340:AK340" si="4661">_xlfn.RANK.EQ(AH340, AH$7:AH$375,0)</f>
        <v>307</v>
      </c>
      <c r="AJ340" s="4">
        <v>0.5</v>
      </c>
      <c r="AK340" s="2">
        <f t="shared" si="4661"/>
        <v>306</v>
      </c>
      <c r="AL340" s="2">
        <v>5</v>
      </c>
      <c r="AM340" s="2">
        <f t="shared" ref="AM340:AO340" si="4662">_xlfn.RANK.EQ(AL340, AL$7:AL$375,0)</f>
        <v>298</v>
      </c>
      <c r="AN340" s="2">
        <v>6</v>
      </c>
      <c r="AO340" s="2">
        <f t="shared" si="4662"/>
        <v>326</v>
      </c>
      <c r="AP340" s="2">
        <v>11</v>
      </c>
      <c r="AQ340" s="2">
        <f t="shared" ref="AQ340:AS340" si="4663">_xlfn.RANK.EQ(AP340, AP$7:AP$375,0)</f>
        <v>323</v>
      </c>
      <c r="AR340" s="2">
        <v>10</v>
      </c>
      <c r="AS340" s="2">
        <f t="shared" si="4663"/>
        <v>313</v>
      </c>
      <c r="AT340" s="2">
        <v>3</v>
      </c>
      <c r="AU340" s="2">
        <f t="shared" ref="AU340:AW340" si="4664">_xlfn.RANK.EQ(AT340, AT$7:AT$375,0)</f>
        <v>339</v>
      </c>
      <c r="AV340" s="2">
        <v>3</v>
      </c>
      <c r="AW340" s="2">
        <f t="shared" si="4664"/>
        <v>318</v>
      </c>
      <c r="AX340" s="2">
        <v>0</v>
      </c>
      <c r="AY340" s="2">
        <f t="shared" ref="AY340:BA340" si="4665">_xlfn.RANK.EQ(AX340, AX$7:AX$375,0)</f>
        <v>298</v>
      </c>
      <c r="AZ340" s="2">
        <v>0</v>
      </c>
      <c r="BA340" s="2">
        <f t="shared" si="4665"/>
        <v>337</v>
      </c>
      <c r="BB340" s="2">
        <v>8</v>
      </c>
      <c r="BC340" s="2">
        <f t="shared" ref="BC340:BE340" si="4666">_xlfn.RANK.EQ(BB340, BB$7:BB$375,0)</f>
        <v>339</v>
      </c>
      <c r="BD340" s="2">
        <v>5</v>
      </c>
      <c r="BE340" s="2">
        <f t="shared" si="4666"/>
        <v>324</v>
      </c>
      <c r="BF340" s="2">
        <v>17</v>
      </c>
      <c r="BG340" s="2">
        <f t="shared" ref="BG340:BI340" si="4667">_xlfn.RANK.EQ(BF340, BF$7:BF$375,0)</f>
        <v>308</v>
      </c>
      <c r="BH340" s="2">
        <v>-34</v>
      </c>
      <c r="BI340" s="2">
        <f t="shared" si="4667"/>
        <v>213</v>
      </c>
    </row>
    <row r="341" spans="1:61" x14ac:dyDescent="0.55000000000000004">
      <c r="A341" s="2">
        <v>335</v>
      </c>
      <c r="B341" s="2" t="s">
        <v>391</v>
      </c>
      <c r="C341" s="2" t="s">
        <v>64</v>
      </c>
      <c r="D341" s="2">
        <v>18</v>
      </c>
      <c r="E341" s="2">
        <f t="shared" si="4485"/>
        <v>330</v>
      </c>
      <c r="F341" s="2">
        <v>0</v>
      </c>
      <c r="G341" s="2">
        <f t="shared" ref="G341:I341" si="4668">_xlfn.RANK.EQ(F341, F$7:F$375,0)</f>
        <v>291</v>
      </c>
      <c r="H341" s="3">
        <v>3.2590277777777779</v>
      </c>
      <c r="I341" s="2">
        <f t="shared" si="4668"/>
        <v>335</v>
      </c>
      <c r="J341" s="5">
        <v>0.18055555555555555</v>
      </c>
      <c r="K341" s="2">
        <f t="shared" ref="K341:M341" si="4669">_xlfn.RANK.EQ(J341, J$7:J$375,0)</f>
        <v>331</v>
      </c>
      <c r="L341" s="2">
        <v>16</v>
      </c>
      <c r="M341" s="2">
        <f t="shared" si="4669"/>
        <v>335</v>
      </c>
      <c r="N341" s="2">
        <v>6</v>
      </c>
      <c r="O341" s="2">
        <f t="shared" ref="O341:Q341" si="4670">_xlfn.RANK.EQ(N341, N$7:N$375,0)</f>
        <v>332</v>
      </c>
      <c r="P341" s="2">
        <v>17</v>
      </c>
      <c r="Q341" s="2">
        <f t="shared" si="4670"/>
        <v>333</v>
      </c>
      <c r="R341" s="4">
        <v>0.35299999999999998</v>
      </c>
      <c r="S341" s="2">
        <f t="shared" ref="S341:U341" si="4671">_xlfn.RANK.EQ(R341, R$7:R$375,0)</f>
        <v>275</v>
      </c>
      <c r="T341" s="2">
        <v>6</v>
      </c>
      <c r="U341" s="2">
        <f t="shared" si="4671"/>
        <v>314</v>
      </c>
      <c r="V341" s="2">
        <v>13</v>
      </c>
      <c r="W341" s="2">
        <f t="shared" ref="W341:Y341" si="4672">_xlfn.RANK.EQ(V341, V$7:V$375,0)</f>
        <v>319</v>
      </c>
      <c r="X341" s="4">
        <v>0.46200000000000002</v>
      </c>
      <c r="Y341" s="2">
        <f t="shared" si="4672"/>
        <v>230</v>
      </c>
      <c r="Z341" s="2">
        <v>0</v>
      </c>
      <c r="AA341" s="2">
        <f t="shared" ref="AA341:AC341" si="4673">_xlfn.RANK.EQ(Z341, Z$7:Z$375,0)</f>
        <v>329</v>
      </c>
      <c r="AB341" s="2">
        <v>4</v>
      </c>
      <c r="AC341" s="2">
        <f t="shared" si="4673"/>
        <v>323</v>
      </c>
      <c r="AD341" s="4">
        <v>0</v>
      </c>
      <c r="AE341" s="2">
        <f t="shared" ref="AE341:AG341" si="4674">_xlfn.RANK.EQ(AD341, AD$7:AD$375,0)</f>
        <v>329</v>
      </c>
      <c r="AF341" s="2">
        <v>4</v>
      </c>
      <c r="AG341" s="2">
        <f t="shared" si="4674"/>
        <v>310</v>
      </c>
      <c r="AH341" s="2">
        <v>5</v>
      </c>
      <c r="AI341" s="2">
        <f t="shared" ref="AI341:AK341" si="4675">_xlfn.RANK.EQ(AH341, AH$7:AH$375,0)</f>
        <v>315</v>
      </c>
      <c r="AJ341" s="4">
        <v>0.8</v>
      </c>
      <c r="AK341" s="2">
        <f t="shared" si="4675"/>
        <v>85</v>
      </c>
      <c r="AL341" s="2">
        <v>2</v>
      </c>
      <c r="AM341" s="2">
        <f t="shared" ref="AM341:AO341" si="4676">_xlfn.RANK.EQ(AL341, AL$7:AL$375,0)</f>
        <v>332</v>
      </c>
      <c r="AN341" s="2">
        <v>6</v>
      </c>
      <c r="AO341" s="2">
        <f t="shared" si="4676"/>
        <v>326</v>
      </c>
      <c r="AP341" s="2">
        <v>8</v>
      </c>
      <c r="AQ341" s="2">
        <f t="shared" ref="AQ341:AS341" si="4677">_xlfn.RANK.EQ(AP341, AP$7:AP$375,0)</f>
        <v>328</v>
      </c>
      <c r="AR341" s="2">
        <v>6</v>
      </c>
      <c r="AS341" s="2">
        <f t="shared" si="4677"/>
        <v>321</v>
      </c>
      <c r="AT341" s="2">
        <v>3</v>
      </c>
      <c r="AU341" s="2">
        <f t="shared" ref="AU341:AW341" si="4678">_xlfn.RANK.EQ(AT341, AT$7:AT$375,0)</f>
        <v>339</v>
      </c>
      <c r="AV341" s="2">
        <v>1</v>
      </c>
      <c r="AW341" s="2">
        <f t="shared" si="4678"/>
        <v>335</v>
      </c>
      <c r="AX341" s="2">
        <v>2</v>
      </c>
      <c r="AY341" s="2">
        <f t="shared" ref="AY341:BA341" si="4679">_xlfn.RANK.EQ(AX341, AX$7:AX$375,0)</f>
        <v>234</v>
      </c>
      <c r="AZ341" s="2">
        <v>3</v>
      </c>
      <c r="BA341" s="2">
        <f t="shared" si="4679"/>
        <v>267</v>
      </c>
      <c r="BB341" s="2">
        <v>8</v>
      </c>
      <c r="BC341" s="2">
        <f t="shared" ref="BC341:BE341" si="4680">_xlfn.RANK.EQ(BB341, BB$7:BB$375,0)</f>
        <v>339</v>
      </c>
      <c r="BD341" s="2">
        <v>4</v>
      </c>
      <c r="BE341" s="2">
        <f t="shared" si="4680"/>
        <v>329</v>
      </c>
      <c r="BF341" s="2">
        <v>11</v>
      </c>
      <c r="BG341" s="2">
        <f t="shared" ref="BG341:BI341" si="4681">_xlfn.RANK.EQ(BF341, BF$7:BF$375,0)</f>
        <v>323</v>
      </c>
      <c r="BH341" s="2">
        <v>-32</v>
      </c>
      <c r="BI341" s="2">
        <f t="shared" si="4681"/>
        <v>208</v>
      </c>
    </row>
    <row r="342" spans="1:61" x14ac:dyDescent="0.55000000000000004">
      <c r="A342" s="2">
        <v>335</v>
      </c>
      <c r="B342" s="2" t="s">
        <v>392</v>
      </c>
      <c r="C342" s="2" t="s">
        <v>72</v>
      </c>
      <c r="D342" s="2">
        <v>21</v>
      </c>
      <c r="E342" s="2">
        <f t="shared" si="4485"/>
        <v>314</v>
      </c>
      <c r="F342" s="2">
        <v>0</v>
      </c>
      <c r="G342" s="2">
        <f t="shared" ref="G342:I342" si="4682">_xlfn.RANK.EQ(F342, F$7:F$375,0)</f>
        <v>291</v>
      </c>
      <c r="H342" s="3">
        <v>3.1604166666666669</v>
      </c>
      <c r="I342" s="2">
        <f t="shared" si="4682"/>
        <v>336</v>
      </c>
      <c r="J342" s="5">
        <v>0.15</v>
      </c>
      <c r="K342" s="2">
        <f t="shared" ref="K342:M342" si="4683">_xlfn.RANK.EQ(J342, J$7:J$375,0)</f>
        <v>339</v>
      </c>
      <c r="L342" s="2">
        <v>16</v>
      </c>
      <c r="M342" s="2">
        <f t="shared" si="4683"/>
        <v>335</v>
      </c>
      <c r="N342" s="2">
        <v>5</v>
      </c>
      <c r="O342" s="2">
        <f t="shared" ref="O342:Q342" si="4684">_xlfn.RANK.EQ(N342, N$7:N$375,0)</f>
        <v>339</v>
      </c>
      <c r="P342" s="2">
        <v>17</v>
      </c>
      <c r="Q342" s="2">
        <f t="shared" si="4684"/>
        <v>333</v>
      </c>
      <c r="R342" s="4">
        <v>0.29399999999999998</v>
      </c>
      <c r="S342" s="2">
        <f t="shared" ref="S342:U342" si="4685">_xlfn.RANK.EQ(R342, R$7:R$375,0)</f>
        <v>336</v>
      </c>
      <c r="T342" s="2">
        <v>1</v>
      </c>
      <c r="U342" s="2">
        <f t="shared" si="4685"/>
        <v>347</v>
      </c>
      <c r="V342" s="2">
        <v>1</v>
      </c>
      <c r="W342" s="2">
        <f t="shared" ref="W342:Y342" si="4686">_xlfn.RANK.EQ(V342, V$7:V$375,0)</f>
        <v>361</v>
      </c>
      <c r="X342" s="4">
        <v>1</v>
      </c>
      <c r="Y342" s="2">
        <f t="shared" si="4686"/>
        <v>1</v>
      </c>
      <c r="Z342" s="2">
        <v>4</v>
      </c>
      <c r="AA342" s="2">
        <f t="shared" ref="AA342:AC342" si="4687">_xlfn.RANK.EQ(Z342, Z$7:Z$375,0)</f>
        <v>284</v>
      </c>
      <c r="AB342" s="2">
        <v>16</v>
      </c>
      <c r="AC342" s="2">
        <f t="shared" si="4687"/>
        <v>292</v>
      </c>
      <c r="AD342" s="4">
        <v>0.25</v>
      </c>
      <c r="AE342" s="2">
        <f t="shared" ref="AE342:AG342" si="4688">_xlfn.RANK.EQ(AD342, AD$7:AD$375,0)</f>
        <v>268</v>
      </c>
      <c r="AF342" s="2">
        <v>2</v>
      </c>
      <c r="AG342" s="2">
        <f t="shared" si="4688"/>
        <v>323</v>
      </c>
      <c r="AH342" s="2">
        <v>4</v>
      </c>
      <c r="AI342" s="2">
        <f t="shared" ref="AI342:AK342" si="4689">_xlfn.RANK.EQ(AH342, AH$7:AH$375,0)</f>
        <v>321</v>
      </c>
      <c r="AJ342" s="4">
        <v>0.5</v>
      </c>
      <c r="AK342" s="2">
        <f t="shared" si="4689"/>
        <v>306</v>
      </c>
      <c r="AL342" s="2">
        <v>1</v>
      </c>
      <c r="AM342" s="2">
        <f t="shared" ref="AM342:AO342" si="4690">_xlfn.RANK.EQ(AL342, AL$7:AL$375,0)</f>
        <v>341</v>
      </c>
      <c r="AN342" s="2">
        <v>3</v>
      </c>
      <c r="AO342" s="2">
        <f t="shared" si="4690"/>
        <v>342</v>
      </c>
      <c r="AP342" s="2">
        <v>4</v>
      </c>
      <c r="AQ342" s="2">
        <f t="shared" ref="AQ342:AS342" si="4691">_xlfn.RANK.EQ(AP342, AP$7:AP$375,0)</f>
        <v>349</v>
      </c>
      <c r="AR342" s="2">
        <v>4</v>
      </c>
      <c r="AS342" s="2">
        <f t="shared" si="4691"/>
        <v>327</v>
      </c>
      <c r="AT342" s="2">
        <v>1</v>
      </c>
      <c r="AU342" s="2">
        <f t="shared" ref="AU342:AW342" si="4692">_xlfn.RANK.EQ(AT342, AT$7:AT$375,0)</f>
        <v>350</v>
      </c>
      <c r="AV342" s="2">
        <v>1</v>
      </c>
      <c r="AW342" s="2">
        <f t="shared" si="4692"/>
        <v>335</v>
      </c>
      <c r="AX342" s="2">
        <v>0</v>
      </c>
      <c r="AY342" s="2">
        <f t="shared" ref="AY342:BA342" si="4693">_xlfn.RANK.EQ(AX342, AX$7:AX$375,0)</f>
        <v>298</v>
      </c>
      <c r="AZ342" s="2">
        <v>1</v>
      </c>
      <c r="BA342" s="2">
        <f t="shared" si="4693"/>
        <v>308</v>
      </c>
      <c r="BB342" s="2">
        <v>11</v>
      </c>
      <c r="BC342" s="2">
        <f t="shared" ref="BC342:BE342" si="4694">_xlfn.RANK.EQ(BB342, BB$7:BB$375,0)</f>
        <v>335</v>
      </c>
      <c r="BD342" s="2">
        <v>3</v>
      </c>
      <c r="BE342" s="2">
        <f t="shared" si="4694"/>
        <v>334</v>
      </c>
      <c r="BF342" s="2">
        <v>1</v>
      </c>
      <c r="BG342" s="2">
        <f t="shared" ref="BG342:BI342" si="4695">_xlfn.RANK.EQ(BF342, BF$7:BF$375,0)</f>
        <v>339</v>
      </c>
      <c r="BH342" s="2">
        <v>-9</v>
      </c>
      <c r="BI342" s="2">
        <f t="shared" si="4695"/>
        <v>168</v>
      </c>
    </row>
    <row r="343" spans="1:61" x14ac:dyDescent="0.55000000000000004">
      <c r="A343" s="2">
        <v>335</v>
      </c>
      <c r="B343" s="2" t="s">
        <v>393</v>
      </c>
      <c r="C343" s="2" t="s">
        <v>62</v>
      </c>
      <c r="D343" s="2">
        <v>26</v>
      </c>
      <c r="E343" s="2">
        <f t="shared" si="4485"/>
        <v>298</v>
      </c>
      <c r="F343" s="2">
        <v>0</v>
      </c>
      <c r="G343" s="2">
        <f t="shared" ref="G343:I343" si="4696">_xlfn.RANK.EQ(F343, F$7:F$375,0)</f>
        <v>291</v>
      </c>
      <c r="H343" s="3">
        <v>4.2041666666666666</v>
      </c>
      <c r="I343" s="2">
        <f t="shared" si="4696"/>
        <v>331</v>
      </c>
      <c r="J343" s="5">
        <v>0.16111111111111112</v>
      </c>
      <c r="K343" s="2">
        <f t="shared" ref="K343:M343" si="4697">_xlfn.RANK.EQ(J343, J$7:J$375,0)</f>
        <v>336</v>
      </c>
      <c r="L343" s="2">
        <v>16</v>
      </c>
      <c r="M343" s="2">
        <f t="shared" si="4697"/>
        <v>335</v>
      </c>
      <c r="N343" s="2">
        <v>3</v>
      </c>
      <c r="O343" s="2">
        <f t="shared" ref="O343:Q343" si="4698">_xlfn.RANK.EQ(N343, N$7:N$375,0)</f>
        <v>346</v>
      </c>
      <c r="P343" s="2">
        <v>13</v>
      </c>
      <c r="Q343" s="2">
        <f t="shared" si="4698"/>
        <v>342</v>
      </c>
      <c r="R343" s="4">
        <v>0.23100000000000001</v>
      </c>
      <c r="S343" s="2">
        <f t="shared" ref="S343:U343" si="4699">_xlfn.RANK.EQ(R343, R$7:R$375,0)</f>
        <v>353</v>
      </c>
      <c r="T343" s="2">
        <v>1</v>
      </c>
      <c r="U343" s="2">
        <f t="shared" si="4699"/>
        <v>347</v>
      </c>
      <c r="V343" s="2">
        <v>9</v>
      </c>
      <c r="W343" s="2">
        <f t="shared" ref="W343:Y343" si="4700">_xlfn.RANK.EQ(V343, V$7:V$375,0)</f>
        <v>329</v>
      </c>
      <c r="X343" s="4">
        <v>0.111</v>
      </c>
      <c r="Y343" s="2">
        <f t="shared" si="4700"/>
        <v>358</v>
      </c>
      <c r="Z343" s="2">
        <v>2</v>
      </c>
      <c r="AA343" s="2">
        <f t="shared" ref="AA343:AC343" si="4701">_xlfn.RANK.EQ(Z343, Z$7:Z$375,0)</f>
        <v>304</v>
      </c>
      <c r="AB343" s="2">
        <v>4</v>
      </c>
      <c r="AC343" s="2">
        <f t="shared" si="4701"/>
        <v>323</v>
      </c>
      <c r="AD343" s="4">
        <v>0.5</v>
      </c>
      <c r="AE343" s="2">
        <f t="shared" ref="AE343:AG343" si="4702">_xlfn.RANK.EQ(AD343, AD$7:AD$375,0)</f>
        <v>7</v>
      </c>
      <c r="AF343" s="2">
        <v>8</v>
      </c>
      <c r="AG343" s="2">
        <f t="shared" si="4702"/>
        <v>280</v>
      </c>
      <c r="AH343" s="2">
        <v>10</v>
      </c>
      <c r="AI343" s="2">
        <f t="shared" ref="AI343:AK343" si="4703">_xlfn.RANK.EQ(AH343, AH$7:AH$375,0)</f>
        <v>293</v>
      </c>
      <c r="AJ343" s="4">
        <v>0.8</v>
      </c>
      <c r="AK343" s="2">
        <f t="shared" si="4703"/>
        <v>85</v>
      </c>
      <c r="AL343" s="2">
        <v>1</v>
      </c>
      <c r="AM343" s="2">
        <f t="shared" ref="AM343:AO343" si="4704">_xlfn.RANK.EQ(AL343, AL$7:AL$375,0)</f>
        <v>341</v>
      </c>
      <c r="AN343" s="2">
        <v>5</v>
      </c>
      <c r="AO343" s="2">
        <f t="shared" si="4704"/>
        <v>332</v>
      </c>
      <c r="AP343" s="2">
        <v>6</v>
      </c>
      <c r="AQ343" s="2">
        <f t="shared" ref="AQ343:AS343" si="4705">_xlfn.RANK.EQ(AP343, AP$7:AP$375,0)</f>
        <v>338</v>
      </c>
      <c r="AR343" s="2">
        <v>4</v>
      </c>
      <c r="AS343" s="2">
        <f t="shared" si="4705"/>
        <v>327</v>
      </c>
      <c r="AT343" s="2">
        <v>8</v>
      </c>
      <c r="AU343" s="2">
        <f t="shared" ref="AU343:AW343" si="4706">_xlfn.RANK.EQ(AT343, AT$7:AT$375,0)</f>
        <v>314</v>
      </c>
      <c r="AV343" s="2">
        <v>0</v>
      </c>
      <c r="AW343" s="2">
        <f t="shared" si="4706"/>
        <v>352</v>
      </c>
      <c r="AX343" s="2">
        <v>1</v>
      </c>
      <c r="AY343" s="2">
        <f t="shared" ref="AY343:BA343" si="4707">_xlfn.RANK.EQ(AX343, AX$7:AX$375,0)</f>
        <v>265</v>
      </c>
      <c r="AZ343" s="2">
        <v>1</v>
      </c>
      <c r="BA343" s="2">
        <f t="shared" si="4707"/>
        <v>308</v>
      </c>
      <c r="BB343" s="2">
        <v>12</v>
      </c>
      <c r="BC343" s="2">
        <f t="shared" ref="BC343:BE343" si="4708">_xlfn.RANK.EQ(BB343, BB$7:BB$375,0)</f>
        <v>331</v>
      </c>
      <c r="BD343" s="2">
        <v>6</v>
      </c>
      <c r="BE343" s="2">
        <f t="shared" si="4708"/>
        <v>317</v>
      </c>
      <c r="BF343" s="2">
        <v>0</v>
      </c>
      <c r="BG343" s="2">
        <f t="shared" ref="BG343:BI343" si="4709">_xlfn.RANK.EQ(BF343, BF$7:BF$375,0)</f>
        <v>342</v>
      </c>
      <c r="BH343" s="2">
        <v>-30</v>
      </c>
      <c r="BI343" s="2">
        <f t="shared" si="4709"/>
        <v>204</v>
      </c>
    </row>
    <row r="344" spans="1:61" x14ac:dyDescent="0.55000000000000004">
      <c r="A344" s="2">
        <v>335</v>
      </c>
      <c r="B344" s="2" t="s">
        <v>394</v>
      </c>
      <c r="C344" s="2" t="s">
        <v>84</v>
      </c>
      <c r="D344" s="2">
        <v>19</v>
      </c>
      <c r="E344" s="2">
        <f t="shared" si="4485"/>
        <v>327</v>
      </c>
      <c r="F344" s="2">
        <v>0</v>
      </c>
      <c r="G344" s="2">
        <f t="shared" ref="G344:I344" si="4710">_xlfn.RANK.EQ(F344, F$7:F$375,0)</f>
        <v>291</v>
      </c>
      <c r="H344" s="3">
        <v>3.317361111111111</v>
      </c>
      <c r="I344" s="2">
        <f t="shared" si="4710"/>
        <v>333</v>
      </c>
      <c r="J344" s="5">
        <v>0.17430555555555555</v>
      </c>
      <c r="K344" s="2">
        <f t="shared" ref="K344:M344" si="4711">_xlfn.RANK.EQ(J344, J$7:J$375,0)</f>
        <v>332</v>
      </c>
      <c r="L344" s="2">
        <v>16</v>
      </c>
      <c r="M344" s="2">
        <f t="shared" si="4711"/>
        <v>335</v>
      </c>
      <c r="N344" s="2">
        <v>6</v>
      </c>
      <c r="O344" s="2">
        <f t="shared" ref="O344:Q344" si="4712">_xlfn.RANK.EQ(N344, N$7:N$375,0)</f>
        <v>332</v>
      </c>
      <c r="P344" s="2">
        <v>14</v>
      </c>
      <c r="Q344" s="2">
        <f t="shared" si="4712"/>
        <v>339</v>
      </c>
      <c r="R344" s="4">
        <v>0.42899999999999999</v>
      </c>
      <c r="S344" s="2">
        <f t="shared" ref="S344:U344" si="4713">_xlfn.RANK.EQ(R344, R$7:R$375,0)</f>
        <v>150</v>
      </c>
      <c r="T344" s="2">
        <v>2</v>
      </c>
      <c r="U344" s="2">
        <f t="shared" si="4713"/>
        <v>341</v>
      </c>
      <c r="V344" s="2">
        <v>3</v>
      </c>
      <c r="W344" s="2">
        <f t="shared" ref="W344:Y344" si="4714">_xlfn.RANK.EQ(V344, V$7:V$375,0)</f>
        <v>354</v>
      </c>
      <c r="X344" s="4">
        <v>0.66700000000000004</v>
      </c>
      <c r="Y344" s="2">
        <f t="shared" si="4714"/>
        <v>15</v>
      </c>
      <c r="Z344" s="2">
        <v>4</v>
      </c>
      <c r="AA344" s="2">
        <f t="shared" ref="AA344:AC344" si="4715">_xlfn.RANK.EQ(Z344, Z$7:Z$375,0)</f>
        <v>284</v>
      </c>
      <c r="AB344" s="2">
        <v>11</v>
      </c>
      <c r="AC344" s="2">
        <f t="shared" si="4715"/>
        <v>302</v>
      </c>
      <c r="AD344" s="4">
        <v>0.36399999999999999</v>
      </c>
      <c r="AE344" s="2">
        <f t="shared" ref="AE344:AG344" si="4716">_xlfn.RANK.EQ(AD344, AD$7:AD$375,0)</f>
        <v>91</v>
      </c>
      <c r="AF344" s="2">
        <v>0</v>
      </c>
      <c r="AG344" s="2">
        <f t="shared" si="4716"/>
        <v>348</v>
      </c>
      <c r="AH344" s="2">
        <v>0</v>
      </c>
      <c r="AI344" s="2">
        <f t="shared" ref="AI344:AK344" si="4717">_xlfn.RANK.EQ(AH344, AH$7:AH$375,0)</f>
        <v>351</v>
      </c>
      <c r="AJ344" s="4">
        <v>0</v>
      </c>
      <c r="AK344" s="2">
        <f t="shared" si="4717"/>
        <v>348</v>
      </c>
      <c r="AL344" s="2">
        <v>2</v>
      </c>
      <c r="AM344" s="2">
        <f t="shared" ref="AM344:AO344" si="4718">_xlfn.RANK.EQ(AL344, AL$7:AL$375,0)</f>
        <v>332</v>
      </c>
      <c r="AN344" s="2">
        <v>4</v>
      </c>
      <c r="AO344" s="2">
        <f t="shared" si="4718"/>
        <v>336</v>
      </c>
      <c r="AP344" s="2">
        <v>6</v>
      </c>
      <c r="AQ344" s="2">
        <f t="shared" ref="AQ344:AS344" si="4719">_xlfn.RANK.EQ(AP344, AP$7:AP$375,0)</f>
        <v>338</v>
      </c>
      <c r="AR344" s="2">
        <v>3</v>
      </c>
      <c r="AS344" s="2">
        <f t="shared" si="4719"/>
        <v>337</v>
      </c>
      <c r="AT344" s="2">
        <v>7</v>
      </c>
      <c r="AU344" s="2">
        <f t="shared" ref="AU344:AW344" si="4720">_xlfn.RANK.EQ(AT344, AT$7:AT$375,0)</f>
        <v>319</v>
      </c>
      <c r="AV344" s="2">
        <v>3</v>
      </c>
      <c r="AW344" s="2">
        <f t="shared" si="4720"/>
        <v>318</v>
      </c>
      <c r="AX344" s="2">
        <v>0</v>
      </c>
      <c r="AY344" s="2">
        <f t="shared" ref="AY344:BA344" si="4721">_xlfn.RANK.EQ(AX344, AX$7:AX$375,0)</f>
        <v>298</v>
      </c>
      <c r="AZ344" s="2">
        <v>0</v>
      </c>
      <c r="BA344" s="2">
        <f t="shared" si="4721"/>
        <v>337</v>
      </c>
      <c r="BB344" s="2">
        <v>7</v>
      </c>
      <c r="BC344" s="2">
        <f t="shared" ref="BC344:BE344" si="4722">_xlfn.RANK.EQ(BB344, BB$7:BB$375,0)</f>
        <v>344</v>
      </c>
      <c r="BD344" s="2">
        <v>3</v>
      </c>
      <c r="BE344" s="2">
        <f t="shared" si="4722"/>
        <v>334</v>
      </c>
      <c r="BF344" s="2">
        <v>9</v>
      </c>
      <c r="BG344" s="2">
        <f t="shared" ref="BG344:BI344" si="4723">_xlfn.RANK.EQ(BF344, BF$7:BF$375,0)</f>
        <v>326</v>
      </c>
      <c r="BH344" s="2">
        <v>-56</v>
      </c>
      <c r="BI344" s="2">
        <f t="shared" si="4723"/>
        <v>241</v>
      </c>
    </row>
    <row r="345" spans="1:61" x14ac:dyDescent="0.55000000000000004">
      <c r="A345" s="2">
        <v>339</v>
      </c>
      <c r="B345" s="2" t="s">
        <v>395</v>
      </c>
      <c r="C345" s="2" t="s">
        <v>69</v>
      </c>
      <c r="D345" s="2">
        <v>33</v>
      </c>
      <c r="E345" s="2">
        <f t="shared" si="4485"/>
        <v>278</v>
      </c>
      <c r="F345" s="2">
        <v>0</v>
      </c>
      <c r="G345" s="2">
        <f t="shared" ref="G345:I345" si="4724">_xlfn.RANK.EQ(F345, F$7:F$375,0)</f>
        <v>291</v>
      </c>
      <c r="H345" s="3">
        <v>6.9006944444444445</v>
      </c>
      <c r="I345" s="2">
        <f t="shared" si="4724"/>
        <v>313</v>
      </c>
      <c r="J345" s="5">
        <v>0.20902777777777778</v>
      </c>
      <c r="K345" s="2">
        <f t="shared" ref="K345:M345" si="4725">_xlfn.RANK.EQ(J345, J$7:J$375,0)</f>
        <v>323</v>
      </c>
      <c r="L345" s="2">
        <v>15</v>
      </c>
      <c r="M345" s="2">
        <f t="shared" si="4725"/>
        <v>339</v>
      </c>
      <c r="N345" s="2">
        <v>6</v>
      </c>
      <c r="O345" s="2">
        <f t="shared" ref="O345:Q345" si="4726">_xlfn.RANK.EQ(N345, N$7:N$375,0)</f>
        <v>332</v>
      </c>
      <c r="P345" s="2">
        <v>15</v>
      </c>
      <c r="Q345" s="2">
        <f t="shared" si="4726"/>
        <v>337</v>
      </c>
      <c r="R345" s="4">
        <v>0.4</v>
      </c>
      <c r="S345" s="2">
        <f t="shared" ref="S345:U345" si="4727">_xlfn.RANK.EQ(R345, R$7:R$375,0)</f>
        <v>200</v>
      </c>
      <c r="T345" s="2">
        <v>4</v>
      </c>
      <c r="U345" s="2">
        <f t="shared" si="4727"/>
        <v>327</v>
      </c>
      <c r="V345" s="2">
        <v>13</v>
      </c>
      <c r="W345" s="2">
        <f t="shared" ref="W345:Y345" si="4728">_xlfn.RANK.EQ(V345, V$7:V$375,0)</f>
        <v>319</v>
      </c>
      <c r="X345" s="4">
        <v>0.308</v>
      </c>
      <c r="Y345" s="2">
        <f t="shared" si="4728"/>
        <v>344</v>
      </c>
      <c r="Z345" s="2">
        <v>2</v>
      </c>
      <c r="AA345" s="2">
        <f t="shared" ref="AA345:AC345" si="4729">_xlfn.RANK.EQ(Z345, Z$7:Z$375,0)</f>
        <v>304</v>
      </c>
      <c r="AB345" s="2">
        <v>2</v>
      </c>
      <c r="AC345" s="2">
        <f t="shared" si="4729"/>
        <v>336</v>
      </c>
      <c r="AD345" s="4">
        <v>1</v>
      </c>
      <c r="AE345" s="2">
        <f t="shared" ref="AE345:AG345" si="4730">_xlfn.RANK.EQ(AD345, AD$7:AD$375,0)</f>
        <v>1</v>
      </c>
      <c r="AF345" s="2">
        <v>1</v>
      </c>
      <c r="AG345" s="2">
        <f t="shared" si="4730"/>
        <v>330</v>
      </c>
      <c r="AH345" s="2">
        <v>4</v>
      </c>
      <c r="AI345" s="2">
        <f t="shared" ref="AI345:AK345" si="4731">_xlfn.RANK.EQ(AH345, AH$7:AH$375,0)</f>
        <v>321</v>
      </c>
      <c r="AJ345" s="4">
        <v>0.25</v>
      </c>
      <c r="AK345" s="2">
        <f t="shared" si="4731"/>
        <v>346</v>
      </c>
      <c r="AL345" s="2">
        <v>8</v>
      </c>
      <c r="AM345" s="2">
        <f t="shared" ref="AM345:AO345" si="4732">_xlfn.RANK.EQ(AL345, AL$7:AL$375,0)</f>
        <v>286</v>
      </c>
      <c r="AN345" s="2">
        <v>17</v>
      </c>
      <c r="AO345" s="2">
        <f t="shared" si="4732"/>
        <v>296</v>
      </c>
      <c r="AP345" s="2">
        <v>25</v>
      </c>
      <c r="AQ345" s="2">
        <f t="shared" ref="AQ345:AS345" si="4733">_xlfn.RANK.EQ(AP345, AP$7:AP$375,0)</f>
        <v>296</v>
      </c>
      <c r="AR345" s="2">
        <v>5</v>
      </c>
      <c r="AS345" s="2">
        <f t="shared" si="4733"/>
        <v>324</v>
      </c>
      <c r="AT345" s="2">
        <v>4</v>
      </c>
      <c r="AU345" s="2">
        <f t="shared" ref="AU345:AW345" si="4734">_xlfn.RANK.EQ(AT345, AT$7:AT$375,0)</f>
        <v>333</v>
      </c>
      <c r="AV345" s="2">
        <v>3</v>
      </c>
      <c r="AW345" s="2">
        <f t="shared" si="4734"/>
        <v>318</v>
      </c>
      <c r="AX345" s="2">
        <v>1</v>
      </c>
      <c r="AY345" s="2">
        <f t="shared" ref="AY345:BA345" si="4735">_xlfn.RANK.EQ(AX345, AX$7:AX$375,0)</f>
        <v>265</v>
      </c>
      <c r="AZ345" s="2">
        <v>1</v>
      </c>
      <c r="BA345" s="2">
        <f t="shared" si="4735"/>
        <v>308</v>
      </c>
      <c r="BB345" s="2">
        <v>23</v>
      </c>
      <c r="BC345" s="2">
        <f t="shared" ref="BC345:BE345" si="4736">_xlfn.RANK.EQ(BB345, BB$7:BB$375,0)</f>
        <v>311</v>
      </c>
      <c r="BD345" s="2">
        <v>4</v>
      </c>
      <c r="BE345" s="2">
        <f t="shared" si="4736"/>
        <v>329</v>
      </c>
      <c r="BF345" s="2">
        <v>13</v>
      </c>
      <c r="BG345" s="2">
        <f t="shared" ref="BG345:BI345" si="4737">_xlfn.RANK.EQ(BF345, BF$7:BF$375,0)</f>
        <v>318</v>
      </c>
      <c r="BH345" s="2">
        <v>-26</v>
      </c>
      <c r="BI345" s="2">
        <f t="shared" si="4737"/>
        <v>203</v>
      </c>
    </row>
    <row r="346" spans="1:61" x14ac:dyDescent="0.55000000000000004">
      <c r="A346" s="2">
        <v>339</v>
      </c>
      <c r="B346" s="2" t="s">
        <v>396</v>
      </c>
      <c r="C346" s="2" t="s">
        <v>42</v>
      </c>
      <c r="D346" s="2">
        <v>20</v>
      </c>
      <c r="E346" s="2">
        <f t="shared" si="4485"/>
        <v>323</v>
      </c>
      <c r="F346" s="2">
        <v>0</v>
      </c>
      <c r="G346" s="2">
        <f t="shared" ref="G346:I346" si="4738">_xlfn.RANK.EQ(F346, F$7:F$375,0)</f>
        <v>291</v>
      </c>
      <c r="H346" s="3">
        <v>2.0187499999999998</v>
      </c>
      <c r="I346" s="2">
        <f t="shared" si="4738"/>
        <v>346</v>
      </c>
      <c r="J346" s="5">
        <v>0.10069444444444445</v>
      </c>
      <c r="K346" s="2">
        <f t="shared" ref="K346:M346" si="4739">_xlfn.RANK.EQ(J346, J$7:J$375,0)</f>
        <v>352</v>
      </c>
      <c r="L346" s="2">
        <v>15</v>
      </c>
      <c r="M346" s="2">
        <f t="shared" si="4739"/>
        <v>339</v>
      </c>
      <c r="N346" s="2">
        <v>7</v>
      </c>
      <c r="O346" s="2">
        <f t="shared" ref="O346:Q346" si="4740">_xlfn.RANK.EQ(N346, N$7:N$375,0)</f>
        <v>330</v>
      </c>
      <c r="P346" s="2">
        <v>8</v>
      </c>
      <c r="Q346" s="2">
        <f t="shared" si="4740"/>
        <v>350</v>
      </c>
      <c r="R346" s="4">
        <v>0.875</v>
      </c>
      <c r="S346" s="2">
        <f t="shared" ref="S346:U346" si="4741">_xlfn.RANK.EQ(R346, R$7:R$375,0)</f>
        <v>2</v>
      </c>
      <c r="T346" s="2">
        <v>7</v>
      </c>
      <c r="U346" s="2">
        <f t="shared" si="4741"/>
        <v>305</v>
      </c>
      <c r="V346" s="2">
        <v>7</v>
      </c>
      <c r="W346" s="2">
        <f t="shared" ref="W346:Y346" si="4742">_xlfn.RANK.EQ(V346, V$7:V$375,0)</f>
        <v>336</v>
      </c>
      <c r="X346" s="4">
        <v>1</v>
      </c>
      <c r="Y346" s="2">
        <f t="shared" si="4742"/>
        <v>1</v>
      </c>
      <c r="Z346" s="2">
        <v>0</v>
      </c>
      <c r="AA346" s="2">
        <f t="shared" ref="AA346:AC346" si="4743">_xlfn.RANK.EQ(Z346, Z$7:Z$375,0)</f>
        <v>329</v>
      </c>
      <c r="AB346" s="2">
        <v>1</v>
      </c>
      <c r="AC346" s="2">
        <f t="shared" si="4743"/>
        <v>342</v>
      </c>
      <c r="AD346" s="4">
        <v>0</v>
      </c>
      <c r="AE346" s="2">
        <f t="shared" ref="AE346:AG346" si="4744">_xlfn.RANK.EQ(AD346, AD$7:AD$375,0)</f>
        <v>329</v>
      </c>
      <c r="AF346" s="2">
        <v>1</v>
      </c>
      <c r="AG346" s="2">
        <f t="shared" si="4744"/>
        <v>330</v>
      </c>
      <c r="AH346" s="2">
        <v>2</v>
      </c>
      <c r="AI346" s="2">
        <f t="shared" ref="AI346:AK346" si="4745">_xlfn.RANK.EQ(AH346, AH$7:AH$375,0)</f>
        <v>333</v>
      </c>
      <c r="AJ346" s="4">
        <v>0.5</v>
      </c>
      <c r="AK346" s="2">
        <f t="shared" si="4745"/>
        <v>306</v>
      </c>
      <c r="AL346" s="2">
        <v>3</v>
      </c>
      <c r="AM346" s="2">
        <f t="shared" ref="AM346:AO346" si="4746">_xlfn.RANK.EQ(AL346, AL$7:AL$375,0)</f>
        <v>319</v>
      </c>
      <c r="AN346" s="2">
        <v>8</v>
      </c>
      <c r="AO346" s="2">
        <f t="shared" si="4746"/>
        <v>318</v>
      </c>
      <c r="AP346" s="2">
        <v>11</v>
      </c>
      <c r="AQ346" s="2">
        <f t="shared" ref="AQ346:AS346" si="4747">_xlfn.RANK.EQ(AP346, AP$7:AP$375,0)</f>
        <v>323</v>
      </c>
      <c r="AR346" s="2">
        <v>0</v>
      </c>
      <c r="AS346" s="2">
        <f t="shared" si="4747"/>
        <v>354</v>
      </c>
      <c r="AT346" s="2">
        <v>6</v>
      </c>
      <c r="AU346" s="2">
        <f t="shared" ref="AU346:AW346" si="4748">_xlfn.RANK.EQ(AT346, AT$7:AT$375,0)</f>
        <v>323</v>
      </c>
      <c r="AV346" s="2">
        <v>0</v>
      </c>
      <c r="AW346" s="2">
        <f t="shared" si="4748"/>
        <v>352</v>
      </c>
      <c r="AX346" s="2">
        <v>1</v>
      </c>
      <c r="AY346" s="2">
        <f t="shared" ref="AY346:BA346" si="4749">_xlfn.RANK.EQ(AX346, AX$7:AX$375,0)</f>
        <v>265</v>
      </c>
      <c r="AZ346" s="2">
        <v>0</v>
      </c>
      <c r="BA346" s="2">
        <f t="shared" si="4749"/>
        <v>337</v>
      </c>
      <c r="BB346" s="2">
        <v>5</v>
      </c>
      <c r="BC346" s="2">
        <f t="shared" ref="BC346:BE346" si="4750">_xlfn.RANK.EQ(BB346, BB$7:BB$375,0)</f>
        <v>348</v>
      </c>
      <c r="BD346" s="2">
        <v>3</v>
      </c>
      <c r="BE346" s="2">
        <f t="shared" si="4750"/>
        <v>334</v>
      </c>
      <c r="BF346" s="2">
        <v>17</v>
      </c>
      <c r="BG346" s="2">
        <f t="shared" ref="BG346:BI346" si="4751">_xlfn.RANK.EQ(BF346, BF$7:BF$375,0)</f>
        <v>308</v>
      </c>
      <c r="BH346" s="2">
        <v>-46</v>
      </c>
      <c r="BI346" s="2">
        <f t="shared" si="4751"/>
        <v>226</v>
      </c>
    </row>
    <row r="347" spans="1:61" x14ac:dyDescent="0.55000000000000004">
      <c r="A347" s="2">
        <v>341</v>
      </c>
      <c r="B347" s="2" t="s">
        <v>397</v>
      </c>
      <c r="C347" s="2" t="s">
        <v>91</v>
      </c>
      <c r="D347" s="2">
        <v>27</v>
      </c>
      <c r="E347" s="2">
        <f t="shared" si="4485"/>
        <v>294</v>
      </c>
      <c r="F347" s="2">
        <v>0</v>
      </c>
      <c r="G347" s="2">
        <f t="shared" ref="G347:I347" si="4752">_xlfn.RANK.EQ(F347, F$7:F$375,0)</f>
        <v>291</v>
      </c>
      <c r="H347" s="3">
        <v>3.1243055555555554</v>
      </c>
      <c r="I347" s="2">
        <f t="shared" si="4752"/>
        <v>338</v>
      </c>
      <c r="J347" s="5">
        <v>0.11527777777777778</v>
      </c>
      <c r="K347" s="2">
        <f t="shared" ref="K347:M347" si="4753">_xlfn.RANK.EQ(J347, J$7:J$375,0)</f>
        <v>348</v>
      </c>
      <c r="L347" s="2">
        <v>14</v>
      </c>
      <c r="M347" s="2">
        <f t="shared" si="4753"/>
        <v>341</v>
      </c>
      <c r="N347" s="2">
        <v>6</v>
      </c>
      <c r="O347" s="2">
        <f t="shared" ref="O347:Q347" si="4754">_xlfn.RANK.EQ(N347, N$7:N$375,0)</f>
        <v>332</v>
      </c>
      <c r="P347" s="2">
        <v>18</v>
      </c>
      <c r="Q347" s="2">
        <f t="shared" si="4754"/>
        <v>332</v>
      </c>
      <c r="R347" s="4">
        <v>0.33300000000000002</v>
      </c>
      <c r="S347" s="2">
        <f t="shared" ref="S347:U347" si="4755">_xlfn.RANK.EQ(R347, R$7:R$375,0)</f>
        <v>297</v>
      </c>
      <c r="T347" s="2">
        <v>5</v>
      </c>
      <c r="U347" s="2">
        <f t="shared" si="4755"/>
        <v>319</v>
      </c>
      <c r="V347" s="2">
        <v>9</v>
      </c>
      <c r="W347" s="2">
        <f t="shared" ref="W347:Y347" si="4756">_xlfn.RANK.EQ(V347, V$7:V$375,0)</f>
        <v>329</v>
      </c>
      <c r="X347" s="4">
        <v>0.55600000000000005</v>
      </c>
      <c r="Y347" s="2">
        <f t="shared" si="4756"/>
        <v>105</v>
      </c>
      <c r="Z347" s="2">
        <v>1</v>
      </c>
      <c r="AA347" s="2">
        <f t="shared" ref="AA347:AC347" si="4757">_xlfn.RANK.EQ(Z347, Z$7:Z$375,0)</f>
        <v>320</v>
      </c>
      <c r="AB347" s="2">
        <v>9</v>
      </c>
      <c r="AC347" s="2">
        <f t="shared" si="4757"/>
        <v>310</v>
      </c>
      <c r="AD347" s="4">
        <v>0.111</v>
      </c>
      <c r="AE347" s="2">
        <f t="shared" ref="AE347:AG347" si="4758">_xlfn.RANK.EQ(AD347, AD$7:AD$375,0)</f>
        <v>324</v>
      </c>
      <c r="AF347" s="2">
        <v>1</v>
      </c>
      <c r="AG347" s="2">
        <f t="shared" si="4758"/>
        <v>330</v>
      </c>
      <c r="AH347" s="2">
        <v>4</v>
      </c>
      <c r="AI347" s="2">
        <f t="shared" ref="AI347:AK347" si="4759">_xlfn.RANK.EQ(AH347, AH$7:AH$375,0)</f>
        <v>321</v>
      </c>
      <c r="AJ347" s="4">
        <v>0.25</v>
      </c>
      <c r="AK347" s="2">
        <f t="shared" si="4759"/>
        <v>346</v>
      </c>
      <c r="AL347" s="2">
        <v>8</v>
      </c>
      <c r="AM347" s="2">
        <f t="shared" ref="AM347:AO347" si="4760">_xlfn.RANK.EQ(AL347, AL$7:AL$375,0)</f>
        <v>286</v>
      </c>
      <c r="AN347" s="2">
        <v>6</v>
      </c>
      <c r="AO347" s="2">
        <f t="shared" si="4760"/>
        <v>326</v>
      </c>
      <c r="AP347" s="2">
        <v>14</v>
      </c>
      <c r="AQ347" s="2">
        <f t="shared" ref="AQ347:AS347" si="4761">_xlfn.RANK.EQ(AP347, AP$7:AP$375,0)</f>
        <v>311</v>
      </c>
      <c r="AR347" s="2">
        <v>0</v>
      </c>
      <c r="AS347" s="2">
        <f t="shared" si="4761"/>
        <v>354</v>
      </c>
      <c r="AT347" s="2">
        <v>3</v>
      </c>
      <c r="AU347" s="2">
        <f t="shared" ref="AU347:AW347" si="4762">_xlfn.RANK.EQ(AT347, AT$7:AT$375,0)</f>
        <v>339</v>
      </c>
      <c r="AV347" s="2">
        <v>4</v>
      </c>
      <c r="AW347" s="2">
        <f t="shared" si="4762"/>
        <v>312</v>
      </c>
      <c r="AX347" s="2">
        <v>0</v>
      </c>
      <c r="AY347" s="2">
        <f t="shared" ref="AY347:BA347" si="4763">_xlfn.RANK.EQ(AX347, AX$7:AX$375,0)</f>
        <v>298</v>
      </c>
      <c r="AZ347" s="2">
        <v>3</v>
      </c>
      <c r="BA347" s="2">
        <f t="shared" si="4763"/>
        <v>267</v>
      </c>
      <c r="BB347" s="2">
        <v>7</v>
      </c>
      <c r="BC347" s="2">
        <f t="shared" ref="BC347:BE347" si="4764">_xlfn.RANK.EQ(BB347, BB$7:BB$375,0)</f>
        <v>344</v>
      </c>
      <c r="BD347" s="2">
        <v>3</v>
      </c>
      <c r="BE347" s="2">
        <f t="shared" si="4764"/>
        <v>334</v>
      </c>
      <c r="BF347" s="2">
        <v>7</v>
      </c>
      <c r="BG347" s="2">
        <f t="shared" ref="BG347:BI347" si="4765">_xlfn.RANK.EQ(BF347, BF$7:BF$375,0)</f>
        <v>329</v>
      </c>
      <c r="BH347" s="2">
        <v>-33</v>
      </c>
      <c r="BI347" s="2">
        <f t="shared" si="4765"/>
        <v>210</v>
      </c>
    </row>
    <row r="348" spans="1:61" x14ac:dyDescent="0.55000000000000004">
      <c r="A348" s="2">
        <v>341</v>
      </c>
      <c r="B348" s="2" t="s">
        <v>398</v>
      </c>
      <c r="C348" s="2" t="s">
        <v>74</v>
      </c>
      <c r="D348" s="2">
        <v>7</v>
      </c>
      <c r="E348" s="2">
        <f t="shared" si="4485"/>
        <v>355</v>
      </c>
      <c r="F348" s="2">
        <v>0</v>
      </c>
      <c r="G348" s="2">
        <f t="shared" ref="G348:I348" si="4766">_xlfn.RANK.EQ(F348, F$7:F$375,0)</f>
        <v>291</v>
      </c>
      <c r="H348" s="3">
        <v>1.3381944444444445</v>
      </c>
      <c r="I348" s="2">
        <f t="shared" si="4766"/>
        <v>351</v>
      </c>
      <c r="J348" s="5">
        <v>0.19097222222222221</v>
      </c>
      <c r="K348" s="2">
        <f t="shared" ref="K348:M348" si="4767">_xlfn.RANK.EQ(J348, J$7:J$375,0)</f>
        <v>328</v>
      </c>
      <c r="L348" s="2">
        <v>14</v>
      </c>
      <c r="M348" s="2">
        <f t="shared" si="4767"/>
        <v>341</v>
      </c>
      <c r="N348" s="2">
        <v>6</v>
      </c>
      <c r="O348" s="2">
        <f t="shared" ref="O348:Q348" si="4768">_xlfn.RANK.EQ(N348, N$7:N$375,0)</f>
        <v>332</v>
      </c>
      <c r="P348" s="2">
        <v>11</v>
      </c>
      <c r="Q348" s="2">
        <f t="shared" si="4768"/>
        <v>348</v>
      </c>
      <c r="R348" s="4">
        <v>0.54500000000000004</v>
      </c>
      <c r="S348" s="2">
        <f t="shared" ref="S348:U348" si="4769">_xlfn.RANK.EQ(R348, R$7:R$375,0)</f>
        <v>43</v>
      </c>
      <c r="T348" s="2">
        <v>4</v>
      </c>
      <c r="U348" s="2">
        <f t="shared" si="4769"/>
        <v>327</v>
      </c>
      <c r="V348" s="2">
        <v>8</v>
      </c>
      <c r="W348" s="2">
        <f t="shared" ref="W348:Y348" si="4770">_xlfn.RANK.EQ(V348, V$7:V$375,0)</f>
        <v>332</v>
      </c>
      <c r="X348" s="4">
        <v>0.5</v>
      </c>
      <c r="Y348" s="2">
        <f t="shared" si="4770"/>
        <v>175</v>
      </c>
      <c r="Z348" s="2">
        <v>2</v>
      </c>
      <c r="AA348" s="2">
        <f t="shared" ref="AA348:AC348" si="4771">_xlfn.RANK.EQ(Z348, Z$7:Z$375,0)</f>
        <v>304</v>
      </c>
      <c r="AB348" s="2">
        <v>3</v>
      </c>
      <c r="AC348" s="2">
        <f t="shared" si="4771"/>
        <v>328</v>
      </c>
      <c r="AD348" s="4">
        <v>0.66700000000000004</v>
      </c>
      <c r="AE348" s="2">
        <f t="shared" ref="AE348:AG348" si="4772">_xlfn.RANK.EQ(AD348, AD$7:AD$375,0)</f>
        <v>3</v>
      </c>
      <c r="AF348" s="2">
        <v>0</v>
      </c>
      <c r="AG348" s="2">
        <f t="shared" si="4772"/>
        <v>348</v>
      </c>
      <c r="AH348" s="2">
        <v>0</v>
      </c>
      <c r="AI348" s="2">
        <f t="shared" ref="AI348:AK348" si="4773">_xlfn.RANK.EQ(AH348, AH$7:AH$375,0)</f>
        <v>351</v>
      </c>
      <c r="AJ348" s="4">
        <v>0</v>
      </c>
      <c r="AK348" s="2">
        <f t="shared" si="4773"/>
        <v>348</v>
      </c>
      <c r="AL348" s="2">
        <v>1</v>
      </c>
      <c r="AM348" s="2">
        <f t="shared" ref="AM348:AO348" si="4774">_xlfn.RANK.EQ(AL348, AL$7:AL$375,0)</f>
        <v>341</v>
      </c>
      <c r="AN348" s="2">
        <v>0</v>
      </c>
      <c r="AO348" s="2">
        <f t="shared" si="4774"/>
        <v>363</v>
      </c>
      <c r="AP348" s="2">
        <v>1</v>
      </c>
      <c r="AQ348" s="2">
        <f t="shared" ref="AQ348:AS348" si="4775">_xlfn.RANK.EQ(AP348, AP$7:AP$375,0)</f>
        <v>356</v>
      </c>
      <c r="AR348" s="2">
        <v>2</v>
      </c>
      <c r="AS348" s="2">
        <f t="shared" si="4775"/>
        <v>343</v>
      </c>
      <c r="AT348" s="2">
        <v>1</v>
      </c>
      <c r="AU348" s="2">
        <f t="shared" ref="AU348:AW348" si="4776">_xlfn.RANK.EQ(AT348, AT$7:AT$375,0)</f>
        <v>350</v>
      </c>
      <c r="AV348" s="2">
        <v>1</v>
      </c>
      <c r="AW348" s="2">
        <f t="shared" si="4776"/>
        <v>335</v>
      </c>
      <c r="AX348" s="2">
        <v>0</v>
      </c>
      <c r="AY348" s="2">
        <f t="shared" ref="AY348:BA348" si="4777">_xlfn.RANK.EQ(AX348, AX$7:AX$375,0)</f>
        <v>298</v>
      </c>
      <c r="AZ348" s="2">
        <v>0</v>
      </c>
      <c r="BA348" s="2">
        <f t="shared" si="4777"/>
        <v>337</v>
      </c>
      <c r="BB348" s="2">
        <v>5</v>
      </c>
      <c r="BC348" s="2">
        <f t="shared" ref="BC348:BE348" si="4778">_xlfn.RANK.EQ(BB348, BB$7:BB$375,0)</f>
        <v>348</v>
      </c>
      <c r="BD348" s="2">
        <v>2</v>
      </c>
      <c r="BE348" s="2">
        <f t="shared" si="4778"/>
        <v>342</v>
      </c>
      <c r="BF348" s="2">
        <v>9</v>
      </c>
      <c r="BG348" s="2">
        <f t="shared" ref="BG348:BI348" si="4779">_xlfn.RANK.EQ(BF348, BF$7:BF$375,0)</f>
        <v>326</v>
      </c>
      <c r="BH348" s="2">
        <v>-21</v>
      </c>
      <c r="BI348" s="2">
        <f t="shared" si="4779"/>
        <v>196</v>
      </c>
    </row>
    <row r="349" spans="1:61" x14ac:dyDescent="0.55000000000000004">
      <c r="A349" s="2">
        <v>341</v>
      </c>
      <c r="B349" s="2" t="s">
        <v>399</v>
      </c>
      <c r="C349" s="2" t="s">
        <v>52</v>
      </c>
      <c r="D349" s="2">
        <v>20</v>
      </c>
      <c r="E349" s="2">
        <f t="shared" si="4485"/>
        <v>323</v>
      </c>
      <c r="F349" s="2">
        <v>0</v>
      </c>
      <c r="G349" s="2">
        <f t="shared" ref="G349:I349" si="4780">_xlfn.RANK.EQ(F349, F$7:F$375,0)</f>
        <v>291</v>
      </c>
      <c r="H349" s="3">
        <v>1.5555555555555556</v>
      </c>
      <c r="I349" s="2">
        <f t="shared" si="4780"/>
        <v>348</v>
      </c>
      <c r="J349" s="5">
        <v>7.7777777777777779E-2</v>
      </c>
      <c r="K349" s="2">
        <f t="shared" ref="K349:M349" si="4781">_xlfn.RANK.EQ(J349, J$7:J$375,0)</f>
        <v>362</v>
      </c>
      <c r="L349" s="2">
        <v>14</v>
      </c>
      <c r="M349" s="2">
        <f t="shared" si="4781"/>
        <v>341</v>
      </c>
      <c r="N349" s="2">
        <v>5</v>
      </c>
      <c r="O349" s="2">
        <f t="shared" ref="O349:Q349" si="4782">_xlfn.RANK.EQ(N349, N$7:N$375,0)</f>
        <v>339</v>
      </c>
      <c r="P349" s="2">
        <v>12</v>
      </c>
      <c r="Q349" s="2">
        <f t="shared" si="4782"/>
        <v>345</v>
      </c>
      <c r="R349" s="4">
        <v>0.41699999999999998</v>
      </c>
      <c r="S349" s="2">
        <f t="shared" ref="S349:U349" si="4783">_xlfn.RANK.EQ(R349, R$7:R$375,0)</f>
        <v>168</v>
      </c>
      <c r="T349" s="2">
        <v>3</v>
      </c>
      <c r="U349" s="2">
        <f t="shared" si="4783"/>
        <v>334</v>
      </c>
      <c r="V349" s="2">
        <v>9</v>
      </c>
      <c r="W349" s="2">
        <f t="shared" ref="W349:Y349" si="4784">_xlfn.RANK.EQ(V349, V$7:V$375,0)</f>
        <v>329</v>
      </c>
      <c r="X349" s="4">
        <v>0.33300000000000002</v>
      </c>
      <c r="Y349" s="2">
        <f t="shared" si="4784"/>
        <v>333</v>
      </c>
      <c r="Z349" s="2">
        <v>2</v>
      </c>
      <c r="AA349" s="2">
        <f t="shared" ref="AA349:AC349" si="4785">_xlfn.RANK.EQ(Z349, Z$7:Z$375,0)</f>
        <v>304</v>
      </c>
      <c r="AB349" s="2">
        <v>3</v>
      </c>
      <c r="AC349" s="2">
        <f t="shared" si="4785"/>
        <v>328</v>
      </c>
      <c r="AD349" s="4">
        <v>0.66700000000000004</v>
      </c>
      <c r="AE349" s="2">
        <f t="shared" ref="AE349:AG349" si="4786">_xlfn.RANK.EQ(AD349, AD$7:AD$375,0)</f>
        <v>3</v>
      </c>
      <c r="AF349" s="2">
        <v>2</v>
      </c>
      <c r="AG349" s="2">
        <f t="shared" si="4786"/>
        <v>323</v>
      </c>
      <c r="AH349" s="2">
        <v>5</v>
      </c>
      <c r="AI349" s="2">
        <f t="shared" ref="AI349:AK349" si="4787">_xlfn.RANK.EQ(AH349, AH$7:AH$375,0)</f>
        <v>315</v>
      </c>
      <c r="AJ349" s="4">
        <v>0.4</v>
      </c>
      <c r="AK349" s="2">
        <f t="shared" si="4787"/>
        <v>341</v>
      </c>
      <c r="AL349" s="2">
        <v>4</v>
      </c>
      <c r="AM349" s="2">
        <f t="shared" ref="AM349:AO349" si="4788">_xlfn.RANK.EQ(AL349, AL$7:AL$375,0)</f>
        <v>305</v>
      </c>
      <c r="AN349" s="2">
        <v>3</v>
      </c>
      <c r="AO349" s="2">
        <f t="shared" si="4788"/>
        <v>342</v>
      </c>
      <c r="AP349" s="2">
        <v>7</v>
      </c>
      <c r="AQ349" s="2">
        <f t="shared" ref="AQ349:AS349" si="4789">_xlfn.RANK.EQ(AP349, AP$7:AP$375,0)</f>
        <v>336</v>
      </c>
      <c r="AR349" s="2">
        <v>2</v>
      </c>
      <c r="AS349" s="2">
        <f t="shared" si="4789"/>
        <v>343</v>
      </c>
      <c r="AT349" s="2">
        <v>7</v>
      </c>
      <c r="AU349" s="2">
        <f t="shared" ref="AU349:AW349" si="4790">_xlfn.RANK.EQ(AT349, AT$7:AT$375,0)</f>
        <v>319</v>
      </c>
      <c r="AV349" s="2">
        <v>5</v>
      </c>
      <c r="AW349" s="2">
        <f t="shared" si="4790"/>
        <v>303</v>
      </c>
      <c r="AX349" s="2">
        <v>0</v>
      </c>
      <c r="AY349" s="2">
        <f t="shared" ref="AY349:BA349" si="4791">_xlfn.RANK.EQ(AX349, AX$7:AX$375,0)</f>
        <v>298</v>
      </c>
      <c r="AZ349" s="2">
        <v>1</v>
      </c>
      <c r="BA349" s="2">
        <f t="shared" si="4791"/>
        <v>308</v>
      </c>
      <c r="BB349" s="2">
        <v>4</v>
      </c>
      <c r="BC349" s="2">
        <f t="shared" ref="BC349:BE349" si="4792">_xlfn.RANK.EQ(BB349, BB$7:BB$375,0)</f>
        <v>351</v>
      </c>
      <c r="BD349" s="2">
        <v>6</v>
      </c>
      <c r="BE349" s="2">
        <f t="shared" si="4792"/>
        <v>317</v>
      </c>
      <c r="BF349" s="2">
        <v>12</v>
      </c>
      <c r="BG349" s="2">
        <f t="shared" ref="BG349:BI349" si="4793">_xlfn.RANK.EQ(BF349, BF$7:BF$375,0)</f>
        <v>320</v>
      </c>
      <c r="BH349" s="2">
        <v>6</v>
      </c>
      <c r="BI349" s="2">
        <f t="shared" si="4793"/>
        <v>135</v>
      </c>
    </row>
    <row r="350" spans="1:61" x14ac:dyDescent="0.55000000000000004">
      <c r="A350" s="2">
        <v>344</v>
      </c>
      <c r="B350" s="2" t="s">
        <v>400</v>
      </c>
      <c r="C350" s="2" t="s">
        <v>72</v>
      </c>
      <c r="D350" s="2">
        <v>11</v>
      </c>
      <c r="E350" s="2">
        <f t="shared" si="4485"/>
        <v>345</v>
      </c>
      <c r="F350" s="2">
        <v>0</v>
      </c>
      <c r="G350" s="2">
        <f t="shared" ref="G350:I350" si="4794">_xlfn.RANK.EQ(F350, F$7:F$375,0)</f>
        <v>291</v>
      </c>
      <c r="H350" s="3">
        <v>1.0465277777777777</v>
      </c>
      <c r="I350" s="2">
        <f t="shared" si="4794"/>
        <v>353</v>
      </c>
      <c r="J350" s="5">
        <v>9.5138888888888884E-2</v>
      </c>
      <c r="K350" s="2">
        <f t="shared" ref="K350:M350" si="4795">_xlfn.RANK.EQ(J350, J$7:J$375,0)</f>
        <v>355</v>
      </c>
      <c r="L350" s="2">
        <v>12</v>
      </c>
      <c r="M350" s="2">
        <f t="shared" si="4795"/>
        <v>344</v>
      </c>
      <c r="N350" s="2">
        <v>4</v>
      </c>
      <c r="O350" s="2">
        <f t="shared" ref="O350:Q350" si="4796">_xlfn.RANK.EQ(N350, N$7:N$375,0)</f>
        <v>343</v>
      </c>
      <c r="P350" s="2">
        <v>12</v>
      </c>
      <c r="Q350" s="2">
        <f t="shared" si="4796"/>
        <v>345</v>
      </c>
      <c r="R350" s="4">
        <v>0.33300000000000002</v>
      </c>
      <c r="S350" s="2">
        <f t="shared" ref="S350:U350" si="4797">_xlfn.RANK.EQ(R350, R$7:R$375,0)</f>
        <v>297</v>
      </c>
      <c r="T350" s="2">
        <v>2</v>
      </c>
      <c r="U350" s="2">
        <f t="shared" si="4797"/>
        <v>341</v>
      </c>
      <c r="V350" s="2">
        <v>6</v>
      </c>
      <c r="W350" s="2">
        <f t="shared" ref="W350:Y350" si="4798">_xlfn.RANK.EQ(V350, V$7:V$375,0)</f>
        <v>338</v>
      </c>
      <c r="X350" s="4">
        <v>0.33300000000000002</v>
      </c>
      <c r="Y350" s="2">
        <f t="shared" si="4798"/>
        <v>333</v>
      </c>
      <c r="Z350" s="2">
        <v>2</v>
      </c>
      <c r="AA350" s="2">
        <f t="shared" ref="AA350:AC350" si="4799">_xlfn.RANK.EQ(Z350, Z$7:Z$375,0)</f>
        <v>304</v>
      </c>
      <c r="AB350" s="2">
        <v>6</v>
      </c>
      <c r="AC350" s="2">
        <f t="shared" si="4799"/>
        <v>317</v>
      </c>
      <c r="AD350" s="4">
        <v>0.33300000000000002</v>
      </c>
      <c r="AE350" s="2">
        <f t="shared" ref="AE350:AG350" si="4800">_xlfn.RANK.EQ(AD350, AD$7:AD$375,0)</f>
        <v>149</v>
      </c>
      <c r="AF350" s="2">
        <v>2</v>
      </c>
      <c r="AG350" s="2">
        <f t="shared" si="4800"/>
        <v>323</v>
      </c>
      <c r="AH350" s="2">
        <v>4</v>
      </c>
      <c r="AI350" s="2">
        <f t="shared" ref="AI350:AK350" si="4801">_xlfn.RANK.EQ(AH350, AH$7:AH$375,0)</f>
        <v>321</v>
      </c>
      <c r="AJ350" s="4">
        <v>0.5</v>
      </c>
      <c r="AK350" s="2">
        <f t="shared" si="4801"/>
        <v>306</v>
      </c>
      <c r="AL350" s="2">
        <v>1</v>
      </c>
      <c r="AM350" s="2">
        <f t="shared" ref="AM350:AO350" si="4802">_xlfn.RANK.EQ(AL350, AL$7:AL$375,0)</f>
        <v>341</v>
      </c>
      <c r="AN350" s="2">
        <v>3</v>
      </c>
      <c r="AO350" s="2">
        <f t="shared" si="4802"/>
        <v>342</v>
      </c>
      <c r="AP350" s="2">
        <v>4</v>
      </c>
      <c r="AQ350" s="2">
        <f t="shared" ref="AQ350:AS350" si="4803">_xlfn.RANK.EQ(AP350, AP$7:AP$375,0)</f>
        <v>349</v>
      </c>
      <c r="AR350" s="2">
        <v>3</v>
      </c>
      <c r="AS350" s="2">
        <f t="shared" si="4803"/>
        <v>337</v>
      </c>
      <c r="AT350" s="2">
        <v>0</v>
      </c>
      <c r="AU350" s="2">
        <f t="shared" ref="AU350:AW350" si="4804">_xlfn.RANK.EQ(AT350, AT$7:AT$375,0)</f>
        <v>360</v>
      </c>
      <c r="AV350" s="2">
        <v>1</v>
      </c>
      <c r="AW350" s="2">
        <f t="shared" si="4804"/>
        <v>335</v>
      </c>
      <c r="AX350" s="2">
        <v>0</v>
      </c>
      <c r="AY350" s="2">
        <f t="shared" ref="AY350:BA350" si="4805">_xlfn.RANK.EQ(AX350, AX$7:AX$375,0)</f>
        <v>298</v>
      </c>
      <c r="AZ350" s="2">
        <v>0</v>
      </c>
      <c r="BA350" s="2">
        <f t="shared" si="4805"/>
        <v>337</v>
      </c>
      <c r="BB350" s="2">
        <v>0</v>
      </c>
      <c r="BC350" s="2">
        <f t="shared" ref="BC350:BE350" si="4806">_xlfn.RANK.EQ(BB350, BB$7:BB$375,0)</f>
        <v>365</v>
      </c>
      <c r="BD350" s="2">
        <v>4</v>
      </c>
      <c r="BE350" s="2">
        <f t="shared" si="4806"/>
        <v>329</v>
      </c>
      <c r="BF350" s="2">
        <v>14</v>
      </c>
      <c r="BG350" s="2">
        <f t="shared" ref="BG350:BI350" si="4807">_xlfn.RANK.EQ(BF350, BF$7:BF$375,0)</f>
        <v>317</v>
      </c>
      <c r="BH350" s="2">
        <v>-4</v>
      </c>
      <c r="BI350" s="2">
        <f t="shared" si="4807"/>
        <v>156</v>
      </c>
    </row>
    <row r="351" spans="1:61" x14ac:dyDescent="0.55000000000000004">
      <c r="A351" s="2">
        <v>345</v>
      </c>
      <c r="B351" s="2" t="s">
        <v>401</v>
      </c>
      <c r="C351" s="2" t="s">
        <v>40</v>
      </c>
      <c r="D351" s="2">
        <v>9</v>
      </c>
      <c r="E351" s="2">
        <f t="shared" si="4485"/>
        <v>350</v>
      </c>
      <c r="F351" s="2">
        <v>0</v>
      </c>
      <c r="G351" s="2">
        <f t="shared" ref="G351:I351" si="4808">_xlfn.RANK.EQ(F351, F$7:F$375,0)</f>
        <v>291</v>
      </c>
      <c r="H351" s="3">
        <v>1.1125</v>
      </c>
      <c r="I351" s="2">
        <f t="shared" si="4808"/>
        <v>352</v>
      </c>
      <c r="J351" s="5">
        <v>0.12361111111111112</v>
      </c>
      <c r="K351" s="2">
        <f t="shared" ref="K351:M351" si="4809">_xlfn.RANK.EQ(J351, J$7:J$375,0)</f>
        <v>346</v>
      </c>
      <c r="L351" s="2">
        <v>10</v>
      </c>
      <c r="M351" s="2">
        <f t="shared" si="4809"/>
        <v>345</v>
      </c>
      <c r="N351" s="2">
        <v>4</v>
      </c>
      <c r="O351" s="2">
        <f t="shared" ref="O351:Q351" si="4810">_xlfn.RANK.EQ(N351, N$7:N$375,0)</f>
        <v>343</v>
      </c>
      <c r="P351" s="2">
        <v>10</v>
      </c>
      <c r="Q351" s="2">
        <f t="shared" si="4810"/>
        <v>349</v>
      </c>
      <c r="R351" s="4">
        <v>0.4</v>
      </c>
      <c r="S351" s="2">
        <f t="shared" ref="S351:U351" si="4811">_xlfn.RANK.EQ(R351, R$7:R$375,0)</f>
        <v>200</v>
      </c>
      <c r="T351" s="2">
        <v>4</v>
      </c>
      <c r="U351" s="2">
        <f t="shared" si="4811"/>
        <v>327</v>
      </c>
      <c r="V351" s="2">
        <v>6</v>
      </c>
      <c r="W351" s="2">
        <f t="shared" ref="W351:Y351" si="4812">_xlfn.RANK.EQ(V351, V$7:V$375,0)</f>
        <v>338</v>
      </c>
      <c r="X351" s="4">
        <v>0.66700000000000004</v>
      </c>
      <c r="Y351" s="2">
        <f t="shared" si="4812"/>
        <v>15</v>
      </c>
      <c r="Z351" s="2">
        <v>0</v>
      </c>
      <c r="AA351" s="2">
        <f t="shared" ref="AA351:AC351" si="4813">_xlfn.RANK.EQ(Z351, Z$7:Z$375,0)</f>
        <v>329</v>
      </c>
      <c r="AB351" s="2">
        <v>4</v>
      </c>
      <c r="AC351" s="2">
        <f t="shared" si="4813"/>
        <v>323</v>
      </c>
      <c r="AD351" s="4">
        <v>0</v>
      </c>
      <c r="AE351" s="2">
        <f t="shared" ref="AE351:AG351" si="4814">_xlfn.RANK.EQ(AD351, AD$7:AD$375,0)</f>
        <v>329</v>
      </c>
      <c r="AF351" s="2">
        <v>2</v>
      </c>
      <c r="AG351" s="2">
        <f t="shared" si="4814"/>
        <v>323</v>
      </c>
      <c r="AH351" s="2">
        <v>5</v>
      </c>
      <c r="AI351" s="2">
        <f t="shared" ref="AI351:AK351" si="4815">_xlfn.RANK.EQ(AH351, AH$7:AH$375,0)</f>
        <v>315</v>
      </c>
      <c r="AJ351" s="4">
        <v>0.4</v>
      </c>
      <c r="AK351" s="2">
        <f t="shared" si="4815"/>
        <v>341</v>
      </c>
      <c r="AL351" s="2">
        <v>1</v>
      </c>
      <c r="AM351" s="2">
        <f t="shared" ref="AM351:AO351" si="4816">_xlfn.RANK.EQ(AL351, AL$7:AL$375,0)</f>
        <v>341</v>
      </c>
      <c r="AN351" s="2">
        <v>3</v>
      </c>
      <c r="AO351" s="2">
        <f t="shared" si="4816"/>
        <v>342</v>
      </c>
      <c r="AP351" s="2">
        <v>4</v>
      </c>
      <c r="AQ351" s="2">
        <f t="shared" ref="AQ351:AS351" si="4817">_xlfn.RANK.EQ(AP351, AP$7:AP$375,0)</f>
        <v>349</v>
      </c>
      <c r="AR351" s="2">
        <v>3</v>
      </c>
      <c r="AS351" s="2">
        <f t="shared" si="4817"/>
        <v>337</v>
      </c>
      <c r="AT351" s="2">
        <v>3</v>
      </c>
      <c r="AU351" s="2">
        <f t="shared" ref="AU351:AW351" si="4818">_xlfn.RANK.EQ(AT351, AT$7:AT$375,0)</f>
        <v>339</v>
      </c>
      <c r="AV351" s="2">
        <v>1</v>
      </c>
      <c r="AW351" s="2">
        <f t="shared" si="4818"/>
        <v>335</v>
      </c>
      <c r="AX351" s="2">
        <v>0</v>
      </c>
      <c r="AY351" s="2">
        <f t="shared" ref="AY351:BA351" si="4819">_xlfn.RANK.EQ(AX351, AX$7:AX$375,0)</f>
        <v>298</v>
      </c>
      <c r="AZ351" s="2">
        <v>0</v>
      </c>
      <c r="BA351" s="2">
        <f t="shared" si="4819"/>
        <v>337</v>
      </c>
      <c r="BB351" s="2">
        <v>8</v>
      </c>
      <c r="BC351" s="2">
        <f t="shared" ref="BC351:BE351" si="4820">_xlfn.RANK.EQ(BB351, BB$7:BB$375,0)</f>
        <v>339</v>
      </c>
      <c r="BD351" s="2">
        <v>5</v>
      </c>
      <c r="BE351" s="2">
        <f t="shared" si="4820"/>
        <v>324</v>
      </c>
      <c r="BF351" s="2">
        <v>3</v>
      </c>
      <c r="BG351" s="2">
        <f t="shared" ref="BG351:BI351" si="4821">_xlfn.RANK.EQ(BF351, BF$7:BF$375,0)</f>
        <v>335</v>
      </c>
      <c r="BH351" s="2">
        <v>-20</v>
      </c>
      <c r="BI351" s="2">
        <f t="shared" si="4821"/>
        <v>194</v>
      </c>
    </row>
    <row r="352" spans="1:61" x14ac:dyDescent="0.55000000000000004">
      <c r="A352" s="2">
        <v>346</v>
      </c>
      <c r="B352" s="2" t="s">
        <v>402</v>
      </c>
      <c r="C352" s="2" t="s">
        <v>42</v>
      </c>
      <c r="D352" s="2">
        <v>8</v>
      </c>
      <c r="E352" s="2">
        <f t="shared" si="4485"/>
        <v>354</v>
      </c>
      <c r="F352" s="2">
        <v>0</v>
      </c>
      <c r="G352" s="2">
        <f t="shared" ref="G352:I352" si="4822">_xlfn.RANK.EQ(F352, F$7:F$375,0)</f>
        <v>291</v>
      </c>
      <c r="H352" s="5">
        <v>0.79027777777777775</v>
      </c>
      <c r="I352" s="2">
        <f t="shared" si="4822"/>
        <v>356</v>
      </c>
      <c r="J352" s="5">
        <v>9.8611111111111108E-2</v>
      </c>
      <c r="K352" s="2">
        <f t="shared" ref="K352:M352" si="4823">_xlfn.RANK.EQ(J352, J$7:J$375,0)</f>
        <v>353</v>
      </c>
      <c r="L352" s="2">
        <v>9</v>
      </c>
      <c r="M352" s="2">
        <f t="shared" si="4823"/>
        <v>346</v>
      </c>
      <c r="N352" s="2">
        <v>4</v>
      </c>
      <c r="O352" s="2">
        <f t="shared" ref="O352:Q352" si="4824">_xlfn.RANK.EQ(N352, N$7:N$375,0)</f>
        <v>343</v>
      </c>
      <c r="P352" s="2">
        <v>5</v>
      </c>
      <c r="Q352" s="2">
        <f t="shared" si="4824"/>
        <v>355</v>
      </c>
      <c r="R352" s="4">
        <v>0.8</v>
      </c>
      <c r="S352" s="2">
        <f t="shared" ref="S352:U352" si="4825">_xlfn.RANK.EQ(R352, R$7:R$375,0)</f>
        <v>3</v>
      </c>
      <c r="T352" s="2">
        <v>3</v>
      </c>
      <c r="U352" s="2">
        <f t="shared" si="4825"/>
        <v>334</v>
      </c>
      <c r="V352" s="2">
        <v>3</v>
      </c>
      <c r="W352" s="2">
        <f t="shared" ref="W352:Y352" si="4826">_xlfn.RANK.EQ(V352, V$7:V$375,0)</f>
        <v>354</v>
      </c>
      <c r="X352" s="4">
        <v>1</v>
      </c>
      <c r="Y352" s="2">
        <f t="shared" si="4826"/>
        <v>1</v>
      </c>
      <c r="Z352" s="2">
        <v>1</v>
      </c>
      <c r="AA352" s="2">
        <f t="shared" ref="AA352:AC352" si="4827">_xlfn.RANK.EQ(Z352, Z$7:Z$375,0)</f>
        <v>320</v>
      </c>
      <c r="AB352" s="2">
        <v>2</v>
      </c>
      <c r="AC352" s="2">
        <f t="shared" si="4827"/>
        <v>336</v>
      </c>
      <c r="AD352" s="4">
        <v>0.5</v>
      </c>
      <c r="AE352" s="2">
        <f t="shared" ref="AE352:AG352" si="4828">_xlfn.RANK.EQ(AD352, AD$7:AD$375,0)</f>
        <v>7</v>
      </c>
      <c r="AF352" s="2">
        <v>0</v>
      </c>
      <c r="AG352" s="2">
        <f t="shared" si="4828"/>
        <v>348</v>
      </c>
      <c r="AH352" s="2">
        <v>0</v>
      </c>
      <c r="AI352" s="2">
        <f t="shared" ref="AI352:AK352" si="4829">_xlfn.RANK.EQ(AH352, AH$7:AH$375,0)</f>
        <v>351</v>
      </c>
      <c r="AJ352" s="4">
        <v>0</v>
      </c>
      <c r="AK352" s="2">
        <f t="shared" si="4829"/>
        <v>348</v>
      </c>
      <c r="AL352" s="2">
        <v>0</v>
      </c>
      <c r="AM352" s="2">
        <f t="shared" ref="AM352:AO352" si="4830">_xlfn.RANK.EQ(AL352, AL$7:AL$375,0)</f>
        <v>354</v>
      </c>
      <c r="AN352" s="2">
        <v>1</v>
      </c>
      <c r="AO352" s="2">
        <f t="shared" si="4830"/>
        <v>354</v>
      </c>
      <c r="AP352" s="2">
        <v>1</v>
      </c>
      <c r="AQ352" s="2">
        <f t="shared" ref="AQ352:AS352" si="4831">_xlfn.RANK.EQ(AP352, AP$7:AP$375,0)</f>
        <v>356</v>
      </c>
      <c r="AR352" s="2">
        <v>0</v>
      </c>
      <c r="AS352" s="2">
        <f t="shared" si="4831"/>
        <v>354</v>
      </c>
      <c r="AT352" s="2">
        <v>1</v>
      </c>
      <c r="AU352" s="2">
        <f t="shared" ref="AU352:AW352" si="4832">_xlfn.RANK.EQ(AT352, AT$7:AT$375,0)</f>
        <v>350</v>
      </c>
      <c r="AV352" s="2">
        <v>2</v>
      </c>
      <c r="AW352" s="2">
        <f t="shared" si="4832"/>
        <v>327</v>
      </c>
      <c r="AX352" s="2">
        <v>0</v>
      </c>
      <c r="AY352" s="2">
        <f t="shared" ref="AY352:BA352" si="4833">_xlfn.RANK.EQ(AX352, AX$7:AX$375,0)</f>
        <v>298</v>
      </c>
      <c r="AZ352" s="2">
        <v>0</v>
      </c>
      <c r="BA352" s="2">
        <f t="shared" si="4833"/>
        <v>337</v>
      </c>
      <c r="BB352" s="2">
        <v>2</v>
      </c>
      <c r="BC352" s="2">
        <f t="shared" ref="BC352:BE352" si="4834">_xlfn.RANK.EQ(BB352, BB$7:BB$375,0)</f>
        <v>355</v>
      </c>
      <c r="BD352" s="2">
        <v>1</v>
      </c>
      <c r="BE352" s="2">
        <f t="shared" si="4834"/>
        <v>348</v>
      </c>
      <c r="BF352" s="2">
        <v>9</v>
      </c>
      <c r="BG352" s="2">
        <f t="shared" ref="BG352:BI352" si="4835">_xlfn.RANK.EQ(BF352, BF$7:BF$375,0)</f>
        <v>326</v>
      </c>
      <c r="BH352" s="2">
        <v>-16</v>
      </c>
      <c r="BI352" s="2">
        <f t="shared" si="4835"/>
        <v>181</v>
      </c>
    </row>
    <row r="353" spans="1:61" x14ac:dyDescent="0.55000000000000004">
      <c r="A353" s="2">
        <v>347</v>
      </c>
      <c r="B353" s="2" t="s">
        <v>403</v>
      </c>
      <c r="C353" s="2" t="s">
        <v>91</v>
      </c>
      <c r="D353" s="2">
        <v>9</v>
      </c>
      <c r="E353" s="2">
        <f t="shared" si="4485"/>
        <v>350</v>
      </c>
      <c r="F353" s="2">
        <v>0</v>
      </c>
      <c r="G353" s="2">
        <f t="shared" ref="G353:I353" si="4836">_xlfn.RANK.EQ(F353, F$7:F$375,0)</f>
        <v>291</v>
      </c>
      <c r="H353" s="3">
        <v>1.3548611111111111</v>
      </c>
      <c r="I353" s="2">
        <f t="shared" si="4836"/>
        <v>350</v>
      </c>
      <c r="J353" s="5">
        <v>0.15</v>
      </c>
      <c r="K353" s="2">
        <f t="shared" ref="K353:M353" si="4837">_xlfn.RANK.EQ(J353, J$7:J$375,0)</f>
        <v>339</v>
      </c>
      <c r="L353" s="2">
        <v>7</v>
      </c>
      <c r="M353" s="2">
        <f t="shared" si="4837"/>
        <v>347</v>
      </c>
      <c r="N353" s="2">
        <v>3</v>
      </c>
      <c r="O353" s="2">
        <f t="shared" ref="O353:Q353" si="4838">_xlfn.RANK.EQ(N353, N$7:N$375,0)</f>
        <v>346</v>
      </c>
      <c r="P353" s="2">
        <v>12</v>
      </c>
      <c r="Q353" s="2">
        <f t="shared" si="4838"/>
        <v>345</v>
      </c>
      <c r="R353" s="4">
        <v>0.25</v>
      </c>
      <c r="S353" s="2">
        <f t="shared" ref="S353:U353" si="4839">_xlfn.RANK.EQ(R353, R$7:R$375,0)</f>
        <v>346</v>
      </c>
      <c r="T353" s="2">
        <v>3</v>
      </c>
      <c r="U353" s="2">
        <f t="shared" si="4839"/>
        <v>334</v>
      </c>
      <c r="V353" s="2">
        <v>11</v>
      </c>
      <c r="W353" s="2">
        <f t="shared" ref="W353:Y353" si="4840">_xlfn.RANK.EQ(V353, V$7:V$375,0)</f>
        <v>323</v>
      </c>
      <c r="X353" s="4">
        <v>0.27300000000000002</v>
      </c>
      <c r="Y353" s="2">
        <f t="shared" si="4840"/>
        <v>347</v>
      </c>
      <c r="Z353" s="2">
        <v>0</v>
      </c>
      <c r="AA353" s="2">
        <f t="shared" ref="AA353:AC353" si="4841">_xlfn.RANK.EQ(Z353, Z$7:Z$375,0)</f>
        <v>329</v>
      </c>
      <c r="AB353" s="2">
        <v>1</v>
      </c>
      <c r="AC353" s="2">
        <f t="shared" si="4841"/>
        <v>342</v>
      </c>
      <c r="AD353" s="4">
        <v>0</v>
      </c>
      <c r="AE353" s="2">
        <f t="shared" ref="AE353:AG353" si="4842">_xlfn.RANK.EQ(AD353, AD$7:AD$375,0)</f>
        <v>329</v>
      </c>
      <c r="AF353" s="2">
        <v>1</v>
      </c>
      <c r="AG353" s="2">
        <f t="shared" si="4842"/>
        <v>330</v>
      </c>
      <c r="AH353" s="2">
        <v>2</v>
      </c>
      <c r="AI353" s="2">
        <f t="shared" ref="AI353:AK353" si="4843">_xlfn.RANK.EQ(AH353, AH$7:AH$375,0)</f>
        <v>333</v>
      </c>
      <c r="AJ353" s="4">
        <v>0.5</v>
      </c>
      <c r="AK353" s="2">
        <f t="shared" si="4843"/>
        <v>306</v>
      </c>
      <c r="AL353" s="2">
        <v>2</v>
      </c>
      <c r="AM353" s="2">
        <f t="shared" ref="AM353:AO353" si="4844">_xlfn.RANK.EQ(AL353, AL$7:AL$375,0)</f>
        <v>332</v>
      </c>
      <c r="AN353" s="2">
        <v>0</v>
      </c>
      <c r="AO353" s="2">
        <f t="shared" si="4844"/>
        <v>363</v>
      </c>
      <c r="AP353" s="2">
        <v>2</v>
      </c>
      <c r="AQ353" s="2">
        <f t="shared" ref="AQ353:AS353" si="4845">_xlfn.RANK.EQ(AP353, AP$7:AP$375,0)</f>
        <v>354</v>
      </c>
      <c r="AR353" s="2">
        <v>1</v>
      </c>
      <c r="AS353" s="2">
        <f t="shared" si="4845"/>
        <v>350</v>
      </c>
      <c r="AT353" s="2">
        <v>6</v>
      </c>
      <c r="AU353" s="2">
        <f t="shared" ref="AU353:AW353" si="4846">_xlfn.RANK.EQ(AT353, AT$7:AT$375,0)</f>
        <v>323</v>
      </c>
      <c r="AV353" s="2">
        <v>0</v>
      </c>
      <c r="AW353" s="2">
        <f t="shared" si="4846"/>
        <v>352</v>
      </c>
      <c r="AX353" s="2">
        <v>0</v>
      </c>
      <c r="AY353" s="2">
        <f t="shared" ref="AY353:BA353" si="4847">_xlfn.RANK.EQ(AX353, AX$7:AX$375,0)</f>
        <v>298</v>
      </c>
      <c r="AZ353" s="2">
        <v>0</v>
      </c>
      <c r="BA353" s="2">
        <f t="shared" si="4847"/>
        <v>337</v>
      </c>
      <c r="BB353" s="2">
        <v>9</v>
      </c>
      <c r="BC353" s="2">
        <f t="shared" ref="BC353:BE353" si="4848">_xlfn.RANK.EQ(BB353, BB$7:BB$375,0)</f>
        <v>338</v>
      </c>
      <c r="BD353" s="2">
        <v>1</v>
      </c>
      <c r="BE353" s="2">
        <f t="shared" si="4848"/>
        <v>348</v>
      </c>
      <c r="BF353" s="2">
        <v>-14</v>
      </c>
      <c r="BG353" s="2">
        <f t="shared" ref="BG353:BI353" si="4849">_xlfn.RANK.EQ(BF353, BF$7:BF$375,0)</f>
        <v>368</v>
      </c>
      <c r="BH353" s="2">
        <v>-12</v>
      </c>
      <c r="BI353" s="2">
        <f t="shared" si="4849"/>
        <v>174</v>
      </c>
    </row>
    <row r="354" spans="1:61" x14ac:dyDescent="0.55000000000000004">
      <c r="A354" s="2">
        <v>348</v>
      </c>
      <c r="B354" s="2" t="s">
        <v>404</v>
      </c>
      <c r="C354" s="2" t="s">
        <v>57</v>
      </c>
      <c r="D354" s="2">
        <v>21</v>
      </c>
      <c r="E354" s="2">
        <f t="shared" si="4485"/>
        <v>314</v>
      </c>
      <c r="F354" s="2">
        <v>0</v>
      </c>
      <c r="G354" s="2">
        <f t="shared" ref="G354:I354" si="4850">_xlfn.RANK.EQ(F354, F$7:F$375,0)</f>
        <v>291</v>
      </c>
      <c r="H354" s="3">
        <v>6.209027777777778</v>
      </c>
      <c r="I354" s="2">
        <f t="shared" si="4850"/>
        <v>319</v>
      </c>
      <c r="J354" s="5">
        <v>0.2951388888888889</v>
      </c>
      <c r="K354" s="2">
        <f t="shared" ref="K354:M354" si="4851">_xlfn.RANK.EQ(J354, J$7:J$375,0)</f>
        <v>307</v>
      </c>
      <c r="L354" s="2">
        <v>6</v>
      </c>
      <c r="M354" s="2">
        <f t="shared" si="4851"/>
        <v>348</v>
      </c>
      <c r="N354" s="2">
        <v>1</v>
      </c>
      <c r="O354" s="2">
        <f t="shared" ref="O354:Q354" si="4852">_xlfn.RANK.EQ(N354, N$7:N$375,0)</f>
        <v>353</v>
      </c>
      <c r="P354" s="2">
        <v>13</v>
      </c>
      <c r="Q354" s="2">
        <f t="shared" si="4852"/>
        <v>342</v>
      </c>
      <c r="R354" s="4">
        <v>7.6999999999999999E-2</v>
      </c>
      <c r="S354" s="2">
        <f t="shared" ref="S354:U354" si="4853">_xlfn.RANK.EQ(R354, R$7:R$375,0)</f>
        <v>361</v>
      </c>
      <c r="T354" s="2">
        <v>0</v>
      </c>
      <c r="U354" s="2">
        <f t="shared" si="4853"/>
        <v>359</v>
      </c>
      <c r="V354" s="2">
        <v>4</v>
      </c>
      <c r="W354" s="2">
        <f t="shared" ref="W354:Y354" si="4854">_xlfn.RANK.EQ(V354, V$7:V$375,0)</f>
        <v>348</v>
      </c>
      <c r="X354" s="4">
        <v>0</v>
      </c>
      <c r="Y354" s="2">
        <f t="shared" si="4854"/>
        <v>359</v>
      </c>
      <c r="Z354" s="2">
        <v>1</v>
      </c>
      <c r="AA354" s="2">
        <f t="shared" ref="AA354:AC354" si="4855">_xlfn.RANK.EQ(Z354, Z$7:Z$375,0)</f>
        <v>320</v>
      </c>
      <c r="AB354" s="2">
        <v>9</v>
      </c>
      <c r="AC354" s="2">
        <f t="shared" si="4855"/>
        <v>310</v>
      </c>
      <c r="AD354" s="4">
        <v>0.111</v>
      </c>
      <c r="AE354" s="2">
        <f t="shared" ref="AE354:AG354" si="4856">_xlfn.RANK.EQ(AD354, AD$7:AD$375,0)</f>
        <v>324</v>
      </c>
      <c r="AF354" s="2">
        <v>3</v>
      </c>
      <c r="AG354" s="2">
        <f t="shared" si="4856"/>
        <v>314</v>
      </c>
      <c r="AH354" s="2">
        <v>6</v>
      </c>
      <c r="AI354" s="2">
        <f t="shared" ref="AI354:AK354" si="4857">_xlfn.RANK.EQ(AH354, AH$7:AH$375,0)</f>
        <v>307</v>
      </c>
      <c r="AJ354" s="4">
        <v>0.5</v>
      </c>
      <c r="AK354" s="2">
        <f t="shared" si="4857"/>
        <v>306</v>
      </c>
      <c r="AL354" s="2">
        <v>2</v>
      </c>
      <c r="AM354" s="2">
        <f t="shared" ref="AM354:AO354" si="4858">_xlfn.RANK.EQ(AL354, AL$7:AL$375,0)</f>
        <v>332</v>
      </c>
      <c r="AN354" s="2">
        <v>6</v>
      </c>
      <c r="AO354" s="2">
        <f t="shared" si="4858"/>
        <v>326</v>
      </c>
      <c r="AP354" s="2">
        <v>8</v>
      </c>
      <c r="AQ354" s="2">
        <f t="shared" ref="AQ354:AS354" si="4859">_xlfn.RANK.EQ(AP354, AP$7:AP$375,0)</f>
        <v>328</v>
      </c>
      <c r="AR354" s="2">
        <v>8</v>
      </c>
      <c r="AS354" s="2">
        <f t="shared" si="4859"/>
        <v>317</v>
      </c>
      <c r="AT354" s="2">
        <v>6</v>
      </c>
      <c r="AU354" s="2">
        <f t="shared" ref="AU354:AW354" si="4860">_xlfn.RANK.EQ(AT354, AT$7:AT$375,0)</f>
        <v>323</v>
      </c>
      <c r="AV354" s="2">
        <v>5</v>
      </c>
      <c r="AW354" s="2">
        <f t="shared" si="4860"/>
        <v>303</v>
      </c>
      <c r="AX354" s="2">
        <v>1</v>
      </c>
      <c r="AY354" s="2">
        <f t="shared" ref="AY354:BA354" si="4861">_xlfn.RANK.EQ(AX354, AX$7:AX$375,0)</f>
        <v>265</v>
      </c>
      <c r="AZ354" s="2">
        <v>0</v>
      </c>
      <c r="BA354" s="2">
        <f t="shared" si="4861"/>
        <v>337</v>
      </c>
      <c r="BB354" s="2">
        <v>23</v>
      </c>
      <c r="BC354" s="2">
        <f t="shared" ref="BC354:BE354" si="4862">_xlfn.RANK.EQ(BB354, BB$7:BB$375,0)</f>
        <v>311</v>
      </c>
      <c r="BD354" s="2">
        <v>11</v>
      </c>
      <c r="BE354" s="2">
        <f t="shared" si="4862"/>
        <v>297</v>
      </c>
      <c r="BF354" s="2">
        <v>-5</v>
      </c>
      <c r="BG354" s="2">
        <f t="shared" ref="BG354:BI354" si="4863">_xlfn.RANK.EQ(BF354, BF$7:BF$375,0)</f>
        <v>356</v>
      </c>
      <c r="BH354" s="2">
        <v>-84</v>
      </c>
      <c r="BI354" s="2">
        <f t="shared" si="4863"/>
        <v>267</v>
      </c>
    </row>
    <row r="355" spans="1:61" x14ac:dyDescent="0.55000000000000004">
      <c r="A355" s="2">
        <v>348</v>
      </c>
      <c r="B355" s="2" t="s">
        <v>405</v>
      </c>
      <c r="C355" s="2" t="s">
        <v>67</v>
      </c>
      <c r="D355" s="2">
        <v>24</v>
      </c>
      <c r="E355" s="2">
        <f t="shared" si="4485"/>
        <v>306</v>
      </c>
      <c r="F355" s="2">
        <v>0</v>
      </c>
      <c r="G355" s="2">
        <f t="shared" ref="G355:I355" si="4864">_xlfn.RANK.EQ(F355, F$7:F$375,0)</f>
        <v>291</v>
      </c>
      <c r="H355" s="3">
        <v>2.151388888888889</v>
      </c>
      <c r="I355" s="2">
        <f t="shared" si="4864"/>
        <v>343</v>
      </c>
      <c r="J355" s="5">
        <v>8.9583333333333334E-2</v>
      </c>
      <c r="K355" s="2">
        <f t="shared" ref="K355:M355" si="4865">_xlfn.RANK.EQ(J355, J$7:J$375,0)</f>
        <v>358</v>
      </c>
      <c r="L355" s="2">
        <v>6</v>
      </c>
      <c r="M355" s="2">
        <f t="shared" si="4865"/>
        <v>348</v>
      </c>
      <c r="N355" s="2">
        <v>3</v>
      </c>
      <c r="O355" s="2">
        <f t="shared" ref="O355:Q355" si="4866">_xlfn.RANK.EQ(N355, N$7:N$375,0)</f>
        <v>346</v>
      </c>
      <c r="P355" s="2">
        <v>15</v>
      </c>
      <c r="Q355" s="2">
        <f t="shared" si="4866"/>
        <v>337</v>
      </c>
      <c r="R355" s="4">
        <v>0.2</v>
      </c>
      <c r="S355" s="2">
        <f t="shared" ref="S355:U355" si="4867">_xlfn.RANK.EQ(R355, R$7:R$375,0)</f>
        <v>355</v>
      </c>
      <c r="T355" s="2">
        <v>3</v>
      </c>
      <c r="U355" s="2">
        <f t="shared" si="4867"/>
        <v>334</v>
      </c>
      <c r="V355" s="2">
        <v>4</v>
      </c>
      <c r="W355" s="2">
        <f t="shared" ref="W355:Y355" si="4868">_xlfn.RANK.EQ(V355, V$7:V$375,0)</f>
        <v>348</v>
      </c>
      <c r="X355" s="4">
        <v>0.75</v>
      </c>
      <c r="Y355" s="2">
        <f t="shared" si="4868"/>
        <v>5</v>
      </c>
      <c r="Z355" s="2">
        <v>0</v>
      </c>
      <c r="AA355" s="2">
        <f t="shared" ref="AA355:AC355" si="4869">_xlfn.RANK.EQ(Z355, Z$7:Z$375,0)</f>
        <v>329</v>
      </c>
      <c r="AB355" s="2">
        <v>11</v>
      </c>
      <c r="AC355" s="2">
        <f t="shared" si="4869"/>
        <v>302</v>
      </c>
      <c r="AD355" s="4">
        <v>0</v>
      </c>
      <c r="AE355" s="2">
        <f t="shared" ref="AE355:AG355" si="4870">_xlfn.RANK.EQ(AD355, AD$7:AD$375,0)</f>
        <v>329</v>
      </c>
      <c r="AF355" s="2">
        <v>0</v>
      </c>
      <c r="AG355" s="2">
        <f t="shared" si="4870"/>
        <v>348</v>
      </c>
      <c r="AH355" s="2">
        <v>0</v>
      </c>
      <c r="AI355" s="2">
        <f t="shared" ref="AI355:AK355" si="4871">_xlfn.RANK.EQ(AH355, AH$7:AH$375,0)</f>
        <v>351</v>
      </c>
      <c r="AJ355" s="4">
        <v>0</v>
      </c>
      <c r="AK355" s="2">
        <f t="shared" si="4871"/>
        <v>348</v>
      </c>
      <c r="AL355" s="2">
        <v>0</v>
      </c>
      <c r="AM355" s="2">
        <f t="shared" ref="AM355:AO355" si="4872">_xlfn.RANK.EQ(AL355, AL$7:AL$375,0)</f>
        <v>354</v>
      </c>
      <c r="AN355" s="2">
        <v>1</v>
      </c>
      <c r="AO355" s="2">
        <f t="shared" si="4872"/>
        <v>354</v>
      </c>
      <c r="AP355" s="2">
        <v>1</v>
      </c>
      <c r="AQ355" s="2">
        <f t="shared" ref="AQ355:AS355" si="4873">_xlfn.RANK.EQ(AP355, AP$7:AP$375,0)</f>
        <v>356</v>
      </c>
      <c r="AR355" s="2">
        <v>2</v>
      </c>
      <c r="AS355" s="2">
        <f t="shared" si="4873"/>
        <v>343</v>
      </c>
      <c r="AT355" s="2">
        <v>4</v>
      </c>
      <c r="AU355" s="2">
        <f t="shared" ref="AU355:AW355" si="4874">_xlfn.RANK.EQ(AT355, AT$7:AT$375,0)</f>
        <v>333</v>
      </c>
      <c r="AV355" s="2">
        <v>3</v>
      </c>
      <c r="AW355" s="2">
        <f t="shared" si="4874"/>
        <v>318</v>
      </c>
      <c r="AX355" s="2">
        <v>0</v>
      </c>
      <c r="AY355" s="2">
        <f t="shared" ref="AY355:BA355" si="4875">_xlfn.RANK.EQ(AX355, AX$7:AX$375,0)</f>
        <v>298</v>
      </c>
      <c r="AZ355" s="2">
        <v>1</v>
      </c>
      <c r="BA355" s="2">
        <f t="shared" si="4875"/>
        <v>308</v>
      </c>
      <c r="BB355" s="2">
        <v>5</v>
      </c>
      <c r="BC355" s="2">
        <f t="shared" ref="BC355:BE355" si="4876">_xlfn.RANK.EQ(BB355, BB$7:BB$375,0)</f>
        <v>348</v>
      </c>
      <c r="BD355" s="2">
        <v>2</v>
      </c>
      <c r="BE355" s="2">
        <f t="shared" si="4876"/>
        <v>342</v>
      </c>
      <c r="BF355" s="2">
        <v>-8</v>
      </c>
      <c r="BG355" s="2">
        <f t="shared" ref="BG355:BI355" si="4877">_xlfn.RANK.EQ(BF355, BF$7:BF$375,0)</f>
        <v>366</v>
      </c>
      <c r="BH355" s="2">
        <v>-18</v>
      </c>
      <c r="BI355" s="2">
        <f t="shared" si="4877"/>
        <v>189</v>
      </c>
    </row>
    <row r="356" spans="1:61" x14ac:dyDescent="0.55000000000000004">
      <c r="A356" s="2">
        <v>348</v>
      </c>
      <c r="B356" s="2" t="s">
        <v>406</v>
      </c>
      <c r="C356" s="2" t="s">
        <v>44</v>
      </c>
      <c r="D356" s="2">
        <v>19</v>
      </c>
      <c r="E356" s="2">
        <f t="shared" si="4485"/>
        <v>327</v>
      </c>
      <c r="F356" s="2">
        <v>0</v>
      </c>
      <c r="G356" s="2">
        <f t="shared" ref="G356:I356" si="4878">_xlfn.RANK.EQ(F356, F$7:F$375,0)</f>
        <v>291</v>
      </c>
      <c r="H356" s="3">
        <v>2.4944444444444445</v>
      </c>
      <c r="I356" s="2">
        <f t="shared" si="4878"/>
        <v>342</v>
      </c>
      <c r="J356" s="5">
        <v>0.13125000000000001</v>
      </c>
      <c r="K356" s="2">
        <f t="shared" ref="K356:M356" si="4879">_xlfn.RANK.EQ(J356, J$7:J$375,0)</f>
        <v>345</v>
      </c>
      <c r="L356" s="2">
        <v>6</v>
      </c>
      <c r="M356" s="2">
        <f t="shared" si="4879"/>
        <v>348</v>
      </c>
      <c r="N356" s="2">
        <v>2</v>
      </c>
      <c r="O356" s="2">
        <f t="shared" ref="O356:Q356" si="4880">_xlfn.RANK.EQ(N356, N$7:N$375,0)</f>
        <v>349</v>
      </c>
      <c r="P356" s="2">
        <v>16</v>
      </c>
      <c r="Q356" s="2">
        <f t="shared" si="4880"/>
        <v>336</v>
      </c>
      <c r="R356" s="4">
        <v>0.125</v>
      </c>
      <c r="S356" s="2">
        <f t="shared" ref="S356:U356" si="4881">_xlfn.RANK.EQ(R356, R$7:R$375,0)</f>
        <v>360</v>
      </c>
      <c r="T356" s="2">
        <v>0</v>
      </c>
      <c r="U356" s="2">
        <f t="shared" si="4881"/>
        <v>359</v>
      </c>
      <c r="V356" s="2">
        <v>6</v>
      </c>
      <c r="W356" s="2">
        <f t="shared" ref="W356:Y356" si="4882">_xlfn.RANK.EQ(V356, V$7:V$375,0)</f>
        <v>338</v>
      </c>
      <c r="X356" s="4">
        <v>0</v>
      </c>
      <c r="Y356" s="2">
        <f t="shared" si="4882"/>
        <v>359</v>
      </c>
      <c r="Z356" s="2">
        <v>2</v>
      </c>
      <c r="AA356" s="2">
        <f t="shared" ref="AA356:AC356" si="4883">_xlfn.RANK.EQ(Z356, Z$7:Z$375,0)</f>
        <v>304</v>
      </c>
      <c r="AB356" s="2">
        <v>10</v>
      </c>
      <c r="AC356" s="2">
        <f t="shared" si="4883"/>
        <v>306</v>
      </c>
      <c r="AD356" s="4">
        <v>0.2</v>
      </c>
      <c r="AE356" s="2">
        <f t="shared" ref="AE356:AG356" si="4884">_xlfn.RANK.EQ(AD356, AD$7:AD$375,0)</f>
        <v>303</v>
      </c>
      <c r="AF356" s="2">
        <v>0</v>
      </c>
      <c r="AG356" s="2">
        <f t="shared" si="4884"/>
        <v>348</v>
      </c>
      <c r="AH356" s="2">
        <v>0</v>
      </c>
      <c r="AI356" s="2">
        <f t="shared" ref="AI356:AK356" si="4885">_xlfn.RANK.EQ(AH356, AH$7:AH$375,0)</f>
        <v>351</v>
      </c>
      <c r="AJ356" s="4">
        <v>0</v>
      </c>
      <c r="AK356" s="2">
        <f t="shared" si="4885"/>
        <v>348</v>
      </c>
      <c r="AL356" s="2">
        <v>7</v>
      </c>
      <c r="AM356" s="2">
        <f t="shared" ref="AM356:AO356" si="4886">_xlfn.RANK.EQ(AL356, AL$7:AL$375,0)</f>
        <v>292</v>
      </c>
      <c r="AN356" s="2">
        <v>2</v>
      </c>
      <c r="AO356" s="2">
        <f t="shared" si="4886"/>
        <v>350</v>
      </c>
      <c r="AP356" s="2">
        <v>9</v>
      </c>
      <c r="AQ356" s="2">
        <f t="shared" ref="AQ356:AS356" si="4887">_xlfn.RANK.EQ(AP356, AP$7:AP$375,0)</f>
        <v>327</v>
      </c>
      <c r="AR356" s="2">
        <v>1</v>
      </c>
      <c r="AS356" s="2">
        <f t="shared" si="4887"/>
        <v>350</v>
      </c>
      <c r="AT356" s="2">
        <v>1</v>
      </c>
      <c r="AU356" s="2">
        <f t="shared" ref="AU356:AW356" si="4888">_xlfn.RANK.EQ(AT356, AT$7:AT$375,0)</f>
        <v>350</v>
      </c>
      <c r="AV356" s="2">
        <v>0</v>
      </c>
      <c r="AW356" s="2">
        <f t="shared" si="4888"/>
        <v>352</v>
      </c>
      <c r="AX356" s="2">
        <v>0</v>
      </c>
      <c r="AY356" s="2">
        <f t="shared" ref="AY356:BA356" si="4889">_xlfn.RANK.EQ(AX356, AX$7:AX$375,0)</f>
        <v>298</v>
      </c>
      <c r="AZ356" s="2">
        <v>2</v>
      </c>
      <c r="BA356" s="2">
        <f t="shared" si="4889"/>
        <v>285</v>
      </c>
      <c r="BB356" s="2">
        <v>23</v>
      </c>
      <c r="BC356" s="2">
        <f t="shared" ref="BC356:BE356" si="4890">_xlfn.RANK.EQ(BB356, BB$7:BB$375,0)</f>
        <v>311</v>
      </c>
      <c r="BD356" s="2">
        <v>0</v>
      </c>
      <c r="BE356" s="2">
        <f t="shared" si="4890"/>
        <v>357</v>
      </c>
      <c r="BF356" s="2">
        <v>-24</v>
      </c>
      <c r="BG356" s="2">
        <f t="shared" ref="BG356:BI356" si="4891">_xlfn.RANK.EQ(BF356, BF$7:BF$375,0)</f>
        <v>369</v>
      </c>
      <c r="BH356" s="2">
        <v>-39</v>
      </c>
      <c r="BI356" s="2">
        <f t="shared" si="4891"/>
        <v>218</v>
      </c>
    </row>
    <row r="357" spans="1:61" x14ac:dyDescent="0.55000000000000004">
      <c r="A357" s="2">
        <v>348</v>
      </c>
      <c r="B357" s="2" t="s">
        <v>407</v>
      </c>
      <c r="C357" s="2" t="s">
        <v>64</v>
      </c>
      <c r="D357" s="2">
        <v>6</v>
      </c>
      <c r="E357" s="2">
        <f t="shared" si="4485"/>
        <v>358</v>
      </c>
      <c r="F357" s="2">
        <v>0</v>
      </c>
      <c r="G357" s="2">
        <f t="shared" ref="G357:I357" si="4892">_xlfn.RANK.EQ(F357, F$7:F$375,0)</f>
        <v>291</v>
      </c>
      <c r="H357" s="5">
        <v>0.66666666666666663</v>
      </c>
      <c r="I357" s="2">
        <f t="shared" si="4892"/>
        <v>357</v>
      </c>
      <c r="J357" s="5">
        <v>0.1111111111111111</v>
      </c>
      <c r="K357" s="2">
        <f t="shared" ref="K357:M357" si="4893">_xlfn.RANK.EQ(J357, J$7:J$375,0)</f>
        <v>350</v>
      </c>
      <c r="L357" s="2">
        <v>6</v>
      </c>
      <c r="M357" s="2">
        <f t="shared" si="4893"/>
        <v>348</v>
      </c>
      <c r="N357" s="2">
        <v>2</v>
      </c>
      <c r="O357" s="2">
        <f t="shared" ref="O357:Q357" si="4894">_xlfn.RANK.EQ(N357, N$7:N$375,0)</f>
        <v>349</v>
      </c>
      <c r="P357" s="2">
        <v>4</v>
      </c>
      <c r="Q357" s="2">
        <f t="shared" si="4894"/>
        <v>358</v>
      </c>
      <c r="R357" s="4">
        <v>0.5</v>
      </c>
      <c r="S357" s="2">
        <f t="shared" ref="S357:U357" si="4895">_xlfn.RANK.EQ(R357, R$7:R$375,0)</f>
        <v>66</v>
      </c>
      <c r="T357" s="2">
        <v>1</v>
      </c>
      <c r="U357" s="2">
        <f t="shared" si="4895"/>
        <v>347</v>
      </c>
      <c r="V357" s="2">
        <v>2</v>
      </c>
      <c r="W357" s="2">
        <f t="shared" ref="W357:Y357" si="4896">_xlfn.RANK.EQ(V357, V$7:V$375,0)</f>
        <v>357</v>
      </c>
      <c r="X357" s="4">
        <v>0.5</v>
      </c>
      <c r="Y357" s="2">
        <f t="shared" si="4896"/>
        <v>175</v>
      </c>
      <c r="Z357" s="2">
        <v>1</v>
      </c>
      <c r="AA357" s="2">
        <f t="shared" ref="AA357:AC357" si="4897">_xlfn.RANK.EQ(Z357, Z$7:Z$375,0)</f>
        <v>320</v>
      </c>
      <c r="AB357" s="2">
        <v>2</v>
      </c>
      <c r="AC357" s="2">
        <f t="shared" si="4897"/>
        <v>336</v>
      </c>
      <c r="AD357" s="4">
        <v>0.5</v>
      </c>
      <c r="AE357" s="2">
        <f t="shared" ref="AE357:AG357" si="4898">_xlfn.RANK.EQ(AD357, AD$7:AD$375,0)</f>
        <v>7</v>
      </c>
      <c r="AF357" s="2">
        <v>1</v>
      </c>
      <c r="AG357" s="2">
        <f t="shared" si="4898"/>
        <v>330</v>
      </c>
      <c r="AH357" s="2">
        <v>2</v>
      </c>
      <c r="AI357" s="2">
        <f t="shared" ref="AI357:AK357" si="4899">_xlfn.RANK.EQ(AH357, AH$7:AH$375,0)</f>
        <v>333</v>
      </c>
      <c r="AJ357" s="4">
        <v>0.5</v>
      </c>
      <c r="AK357" s="2">
        <f t="shared" si="4899"/>
        <v>306</v>
      </c>
      <c r="AL357" s="2">
        <v>0</v>
      </c>
      <c r="AM357" s="2">
        <f t="shared" ref="AM357:AO357" si="4900">_xlfn.RANK.EQ(AL357, AL$7:AL$375,0)</f>
        <v>354</v>
      </c>
      <c r="AN357" s="2">
        <v>1</v>
      </c>
      <c r="AO357" s="2">
        <f t="shared" si="4900"/>
        <v>354</v>
      </c>
      <c r="AP357" s="2">
        <v>1</v>
      </c>
      <c r="AQ357" s="2">
        <f t="shared" ref="AQ357:AS357" si="4901">_xlfn.RANK.EQ(AP357, AP$7:AP$375,0)</f>
        <v>356</v>
      </c>
      <c r="AR357" s="2">
        <v>0</v>
      </c>
      <c r="AS357" s="2">
        <f t="shared" si="4901"/>
        <v>354</v>
      </c>
      <c r="AT357" s="2">
        <v>0</v>
      </c>
      <c r="AU357" s="2">
        <f t="shared" ref="AU357:AW357" si="4902">_xlfn.RANK.EQ(AT357, AT$7:AT$375,0)</f>
        <v>360</v>
      </c>
      <c r="AV357" s="2">
        <v>0</v>
      </c>
      <c r="AW357" s="2">
        <f t="shared" si="4902"/>
        <v>352</v>
      </c>
      <c r="AX357" s="2">
        <v>1</v>
      </c>
      <c r="AY357" s="2">
        <f t="shared" ref="AY357:BA357" si="4903">_xlfn.RANK.EQ(AX357, AX$7:AX$375,0)</f>
        <v>265</v>
      </c>
      <c r="AZ357" s="2">
        <v>1</v>
      </c>
      <c r="BA357" s="2">
        <f t="shared" si="4903"/>
        <v>308</v>
      </c>
      <c r="BB357" s="2">
        <v>7</v>
      </c>
      <c r="BC357" s="2">
        <f t="shared" ref="BC357:BE357" si="4904">_xlfn.RANK.EQ(BB357, BB$7:BB$375,0)</f>
        <v>344</v>
      </c>
      <c r="BD357" s="2">
        <v>1</v>
      </c>
      <c r="BE357" s="2">
        <f t="shared" si="4904"/>
        <v>348</v>
      </c>
      <c r="BF357" s="2">
        <v>-2</v>
      </c>
      <c r="BG357" s="2">
        <f t="shared" ref="BG357:BI357" si="4905">_xlfn.RANK.EQ(BF357, BF$7:BF$375,0)</f>
        <v>348</v>
      </c>
      <c r="BH357" s="2">
        <v>-18</v>
      </c>
      <c r="BI357" s="2">
        <f t="shared" si="4905"/>
        <v>189</v>
      </c>
    </row>
    <row r="358" spans="1:61" x14ac:dyDescent="0.55000000000000004">
      <c r="A358" s="2">
        <v>352</v>
      </c>
      <c r="B358" s="2" t="s">
        <v>408</v>
      </c>
      <c r="C358" s="2" t="s">
        <v>84</v>
      </c>
      <c r="D358" s="2">
        <v>10</v>
      </c>
      <c r="E358" s="2">
        <f t="shared" si="4485"/>
        <v>347</v>
      </c>
      <c r="F358" s="2">
        <v>0</v>
      </c>
      <c r="G358" s="2">
        <f t="shared" ref="G358:I358" si="4906">_xlfn.RANK.EQ(F358, F$7:F$375,0)</f>
        <v>291</v>
      </c>
      <c r="H358" s="3">
        <v>1.4652777777777777</v>
      </c>
      <c r="I358" s="2">
        <f t="shared" si="4906"/>
        <v>349</v>
      </c>
      <c r="J358" s="5">
        <v>0.14652777777777778</v>
      </c>
      <c r="K358" s="2">
        <f t="shared" ref="K358:M358" si="4907">_xlfn.RANK.EQ(J358, J$7:J$375,0)</f>
        <v>342</v>
      </c>
      <c r="L358" s="2">
        <v>5</v>
      </c>
      <c r="M358" s="2">
        <f t="shared" si="4907"/>
        <v>352</v>
      </c>
      <c r="N358" s="2">
        <v>2</v>
      </c>
      <c r="O358" s="2">
        <f t="shared" ref="O358:Q358" si="4908">_xlfn.RANK.EQ(N358, N$7:N$375,0)</f>
        <v>349</v>
      </c>
      <c r="P358" s="2">
        <v>8</v>
      </c>
      <c r="Q358" s="2">
        <f t="shared" si="4908"/>
        <v>350</v>
      </c>
      <c r="R358" s="4">
        <v>0.25</v>
      </c>
      <c r="S358" s="2">
        <f t="shared" ref="S358:U358" si="4909">_xlfn.RANK.EQ(R358, R$7:R$375,0)</f>
        <v>346</v>
      </c>
      <c r="T358" s="2">
        <v>2</v>
      </c>
      <c r="U358" s="2">
        <f t="shared" si="4909"/>
        <v>341</v>
      </c>
      <c r="V358" s="2">
        <v>5</v>
      </c>
      <c r="W358" s="2">
        <f t="shared" ref="W358:Y358" si="4910">_xlfn.RANK.EQ(V358, V$7:V$375,0)</f>
        <v>346</v>
      </c>
      <c r="X358" s="4">
        <v>0.4</v>
      </c>
      <c r="Y358" s="2">
        <f t="shared" si="4910"/>
        <v>293</v>
      </c>
      <c r="Z358" s="2">
        <v>0</v>
      </c>
      <c r="AA358" s="2">
        <f t="shared" ref="AA358:AC358" si="4911">_xlfn.RANK.EQ(Z358, Z$7:Z$375,0)</f>
        <v>329</v>
      </c>
      <c r="AB358" s="2">
        <v>3</v>
      </c>
      <c r="AC358" s="2">
        <f t="shared" si="4911"/>
        <v>328</v>
      </c>
      <c r="AD358" s="4">
        <v>0</v>
      </c>
      <c r="AE358" s="2">
        <f t="shared" ref="AE358:AG358" si="4912">_xlfn.RANK.EQ(AD358, AD$7:AD$375,0)</f>
        <v>329</v>
      </c>
      <c r="AF358" s="2">
        <v>1</v>
      </c>
      <c r="AG358" s="2">
        <f t="shared" si="4912"/>
        <v>330</v>
      </c>
      <c r="AH358" s="2">
        <v>3</v>
      </c>
      <c r="AI358" s="2">
        <f t="shared" ref="AI358:AK358" si="4913">_xlfn.RANK.EQ(AH358, AH$7:AH$375,0)</f>
        <v>332</v>
      </c>
      <c r="AJ358" s="4">
        <v>0.33300000000000002</v>
      </c>
      <c r="AK358" s="2">
        <f t="shared" si="4913"/>
        <v>345</v>
      </c>
      <c r="AL358" s="2">
        <v>1</v>
      </c>
      <c r="AM358" s="2">
        <f t="shared" ref="AM358:AO358" si="4914">_xlfn.RANK.EQ(AL358, AL$7:AL$375,0)</f>
        <v>341</v>
      </c>
      <c r="AN358" s="2">
        <v>4</v>
      </c>
      <c r="AO358" s="2">
        <f t="shared" si="4914"/>
        <v>336</v>
      </c>
      <c r="AP358" s="2">
        <v>5</v>
      </c>
      <c r="AQ358" s="2">
        <f t="shared" ref="AQ358:AS358" si="4915">_xlfn.RANK.EQ(AP358, AP$7:AP$375,0)</f>
        <v>343</v>
      </c>
      <c r="AR358" s="2">
        <v>1</v>
      </c>
      <c r="AS358" s="2">
        <f t="shared" si="4915"/>
        <v>350</v>
      </c>
      <c r="AT358" s="2">
        <v>3</v>
      </c>
      <c r="AU358" s="2">
        <f t="shared" ref="AU358:AW358" si="4916">_xlfn.RANK.EQ(AT358, AT$7:AT$375,0)</f>
        <v>339</v>
      </c>
      <c r="AV358" s="2">
        <v>0</v>
      </c>
      <c r="AW358" s="2">
        <f t="shared" si="4916"/>
        <v>352</v>
      </c>
      <c r="AX358" s="2">
        <v>0</v>
      </c>
      <c r="AY358" s="2">
        <f t="shared" ref="AY358:BA358" si="4917">_xlfn.RANK.EQ(AX358, AX$7:AX$375,0)</f>
        <v>298</v>
      </c>
      <c r="AZ358" s="2">
        <v>1</v>
      </c>
      <c r="BA358" s="2">
        <f t="shared" si="4917"/>
        <v>308</v>
      </c>
      <c r="BB358" s="2">
        <v>8</v>
      </c>
      <c r="BC358" s="2">
        <f t="shared" ref="BC358:BE358" si="4918">_xlfn.RANK.EQ(BB358, BB$7:BB$375,0)</f>
        <v>339</v>
      </c>
      <c r="BD358" s="2">
        <v>3</v>
      </c>
      <c r="BE358" s="2">
        <f t="shared" si="4918"/>
        <v>334</v>
      </c>
      <c r="BF358" s="2">
        <v>-6</v>
      </c>
      <c r="BG358" s="2">
        <f t="shared" ref="BG358:BI358" si="4919">_xlfn.RANK.EQ(BF358, BF$7:BF$375,0)</f>
        <v>359</v>
      </c>
      <c r="BH358" s="2">
        <v>-25</v>
      </c>
      <c r="BI358" s="2">
        <f t="shared" si="4919"/>
        <v>200</v>
      </c>
    </row>
    <row r="359" spans="1:61" x14ac:dyDescent="0.55000000000000004">
      <c r="A359" s="2">
        <v>353</v>
      </c>
      <c r="B359" s="2" t="s">
        <v>409</v>
      </c>
      <c r="C359" s="2" t="s">
        <v>64</v>
      </c>
      <c r="D359" s="2">
        <v>4</v>
      </c>
      <c r="E359" s="2">
        <f t="shared" si="4485"/>
        <v>362</v>
      </c>
      <c r="F359" s="2">
        <v>0</v>
      </c>
      <c r="G359" s="2">
        <f t="shared" ref="G359:I359" si="4920">_xlfn.RANK.EQ(F359, F$7:F$375,0)</f>
        <v>291</v>
      </c>
      <c r="H359" s="5">
        <v>0.3298611111111111</v>
      </c>
      <c r="I359" s="2">
        <f t="shared" si="4920"/>
        <v>364</v>
      </c>
      <c r="J359" s="5">
        <v>8.1944444444444445E-2</v>
      </c>
      <c r="K359" s="2">
        <f t="shared" ref="K359:M359" si="4921">_xlfn.RANK.EQ(J359, J$7:J$375,0)</f>
        <v>359</v>
      </c>
      <c r="L359" s="2">
        <v>4</v>
      </c>
      <c r="M359" s="2">
        <f t="shared" si="4921"/>
        <v>353</v>
      </c>
      <c r="N359" s="2">
        <v>1</v>
      </c>
      <c r="O359" s="2">
        <f t="shared" ref="O359:Q359" si="4922">_xlfn.RANK.EQ(N359, N$7:N$375,0)</f>
        <v>353</v>
      </c>
      <c r="P359" s="2">
        <v>3</v>
      </c>
      <c r="Q359" s="2">
        <f t="shared" si="4922"/>
        <v>362</v>
      </c>
      <c r="R359" s="4">
        <v>0.33300000000000002</v>
      </c>
      <c r="S359" s="2">
        <f t="shared" ref="S359:U359" si="4923">_xlfn.RANK.EQ(R359, R$7:R$375,0)</f>
        <v>297</v>
      </c>
      <c r="T359" s="2">
        <v>0</v>
      </c>
      <c r="U359" s="2">
        <f t="shared" si="4923"/>
        <v>359</v>
      </c>
      <c r="V359" s="2">
        <v>1</v>
      </c>
      <c r="W359" s="2">
        <f t="shared" ref="W359:Y359" si="4924">_xlfn.RANK.EQ(V359, V$7:V$375,0)</f>
        <v>361</v>
      </c>
      <c r="X359" s="4">
        <v>0</v>
      </c>
      <c r="Y359" s="2">
        <f t="shared" si="4924"/>
        <v>359</v>
      </c>
      <c r="Z359" s="2">
        <v>1</v>
      </c>
      <c r="AA359" s="2">
        <f t="shared" ref="AA359:AC359" si="4925">_xlfn.RANK.EQ(Z359, Z$7:Z$375,0)</f>
        <v>320</v>
      </c>
      <c r="AB359" s="2">
        <v>2</v>
      </c>
      <c r="AC359" s="2">
        <f t="shared" si="4925"/>
        <v>336</v>
      </c>
      <c r="AD359" s="4">
        <v>0.5</v>
      </c>
      <c r="AE359" s="2">
        <f t="shared" ref="AE359:AG359" si="4926">_xlfn.RANK.EQ(AD359, AD$7:AD$375,0)</f>
        <v>7</v>
      </c>
      <c r="AF359" s="2">
        <v>1</v>
      </c>
      <c r="AG359" s="2">
        <f t="shared" si="4926"/>
        <v>330</v>
      </c>
      <c r="AH359" s="2">
        <v>2</v>
      </c>
      <c r="AI359" s="2">
        <f t="shared" ref="AI359:AK359" si="4927">_xlfn.RANK.EQ(AH359, AH$7:AH$375,0)</f>
        <v>333</v>
      </c>
      <c r="AJ359" s="4">
        <v>0.5</v>
      </c>
      <c r="AK359" s="2">
        <f t="shared" si="4927"/>
        <v>306</v>
      </c>
      <c r="AL359" s="2">
        <v>1</v>
      </c>
      <c r="AM359" s="2">
        <f t="shared" ref="AM359:AO359" si="4928">_xlfn.RANK.EQ(AL359, AL$7:AL$375,0)</f>
        <v>341</v>
      </c>
      <c r="AN359" s="2">
        <v>0</v>
      </c>
      <c r="AO359" s="2">
        <f t="shared" si="4928"/>
        <v>363</v>
      </c>
      <c r="AP359" s="2">
        <v>1</v>
      </c>
      <c r="AQ359" s="2">
        <f t="shared" ref="AQ359:AS359" si="4929">_xlfn.RANK.EQ(AP359, AP$7:AP$375,0)</f>
        <v>356</v>
      </c>
      <c r="AR359" s="2">
        <v>0</v>
      </c>
      <c r="AS359" s="2">
        <f t="shared" si="4929"/>
        <v>354</v>
      </c>
      <c r="AT359" s="2">
        <v>1</v>
      </c>
      <c r="AU359" s="2">
        <f t="shared" ref="AU359:AW359" si="4930">_xlfn.RANK.EQ(AT359, AT$7:AT$375,0)</f>
        <v>350</v>
      </c>
      <c r="AV359" s="2">
        <v>1</v>
      </c>
      <c r="AW359" s="2">
        <f t="shared" si="4930"/>
        <v>335</v>
      </c>
      <c r="AX359" s="2">
        <v>0</v>
      </c>
      <c r="AY359" s="2">
        <f t="shared" ref="AY359:BA359" si="4931">_xlfn.RANK.EQ(AX359, AX$7:AX$375,0)</f>
        <v>298</v>
      </c>
      <c r="AZ359" s="2">
        <v>0</v>
      </c>
      <c r="BA359" s="2">
        <f t="shared" si="4931"/>
        <v>337</v>
      </c>
      <c r="BB359" s="2">
        <v>2</v>
      </c>
      <c r="BC359" s="2">
        <f t="shared" ref="BC359:BE359" si="4932">_xlfn.RANK.EQ(BB359, BB$7:BB$375,0)</f>
        <v>355</v>
      </c>
      <c r="BD359" s="2">
        <v>1</v>
      </c>
      <c r="BE359" s="2">
        <f t="shared" si="4932"/>
        <v>348</v>
      </c>
      <c r="BF359" s="2">
        <v>1</v>
      </c>
      <c r="BG359" s="2">
        <f t="shared" ref="BG359:BI359" si="4933">_xlfn.RANK.EQ(BF359, BF$7:BF$375,0)</f>
        <v>339</v>
      </c>
      <c r="BH359" s="2">
        <v>-12</v>
      </c>
      <c r="BI359" s="2">
        <f t="shared" si="4933"/>
        <v>174</v>
      </c>
    </row>
    <row r="360" spans="1:61" x14ac:dyDescent="0.55000000000000004">
      <c r="A360" s="2">
        <v>353</v>
      </c>
      <c r="B360" s="2" t="s">
        <v>410</v>
      </c>
      <c r="C360" s="2" t="s">
        <v>64</v>
      </c>
      <c r="D360" s="2">
        <v>31</v>
      </c>
      <c r="E360" s="2">
        <f t="shared" si="4485"/>
        <v>281</v>
      </c>
      <c r="F360" s="2">
        <v>0</v>
      </c>
      <c r="G360" s="2">
        <f t="shared" ref="G360:I360" si="4934">_xlfn.RANK.EQ(F360, F$7:F$375,0)</f>
        <v>291</v>
      </c>
      <c r="H360" s="3">
        <v>5.1166666666666663</v>
      </c>
      <c r="I360" s="2">
        <f t="shared" si="4934"/>
        <v>326</v>
      </c>
      <c r="J360" s="5">
        <v>0.16458333333333333</v>
      </c>
      <c r="K360" s="2">
        <f t="shared" ref="K360:M360" si="4935">_xlfn.RANK.EQ(J360, J$7:J$375,0)</f>
        <v>335</v>
      </c>
      <c r="L360" s="2">
        <v>4</v>
      </c>
      <c r="M360" s="2">
        <f t="shared" si="4935"/>
        <v>353</v>
      </c>
      <c r="N360" s="2">
        <v>2</v>
      </c>
      <c r="O360" s="2">
        <f t="shared" ref="O360:Q360" si="4936">_xlfn.RANK.EQ(N360, N$7:N$375,0)</f>
        <v>349</v>
      </c>
      <c r="P360" s="2">
        <v>6</v>
      </c>
      <c r="Q360" s="2">
        <f t="shared" si="4936"/>
        <v>353</v>
      </c>
      <c r="R360" s="4">
        <v>0.33300000000000002</v>
      </c>
      <c r="S360" s="2">
        <f t="shared" ref="S360:U360" si="4937">_xlfn.RANK.EQ(R360, R$7:R$375,0)</f>
        <v>297</v>
      </c>
      <c r="T360" s="2">
        <v>2</v>
      </c>
      <c r="U360" s="2">
        <f t="shared" si="4937"/>
        <v>341</v>
      </c>
      <c r="V360" s="2">
        <v>6</v>
      </c>
      <c r="W360" s="2">
        <f t="shared" ref="W360:Y360" si="4938">_xlfn.RANK.EQ(V360, V$7:V$375,0)</f>
        <v>338</v>
      </c>
      <c r="X360" s="4">
        <v>0.33300000000000002</v>
      </c>
      <c r="Y360" s="2">
        <f t="shared" si="4938"/>
        <v>333</v>
      </c>
      <c r="Z360" s="2">
        <v>0</v>
      </c>
      <c r="AA360" s="2">
        <f t="shared" ref="AA360:AC360" si="4939">_xlfn.RANK.EQ(Z360, Z$7:Z$375,0)</f>
        <v>329</v>
      </c>
      <c r="AB360" s="2">
        <v>0</v>
      </c>
      <c r="AC360" s="2">
        <f t="shared" si="4939"/>
        <v>360</v>
      </c>
      <c r="AD360" s="4">
        <v>0</v>
      </c>
      <c r="AE360" s="2">
        <f t="shared" ref="AE360:AG360" si="4940">_xlfn.RANK.EQ(AD360, AD$7:AD$375,0)</f>
        <v>329</v>
      </c>
      <c r="AF360" s="2">
        <v>0</v>
      </c>
      <c r="AG360" s="2">
        <f t="shared" si="4940"/>
        <v>348</v>
      </c>
      <c r="AH360" s="2">
        <v>2</v>
      </c>
      <c r="AI360" s="2">
        <f t="shared" ref="AI360:AK360" si="4941">_xlfn.RANK.EQ(AH360, AH$7:AH$375,0)</f>
        <v>333</v>
      </c>
      <c r="AJ360" s="4">
        <v>0</v>
      </c>
      <c r="AK360" s="2">
        <f t="shared" si="4941"/>
        <v>348</v>
      </c>
      <c r="AL360" s="2">
        <v>4</v>
      </c>
      <c r="AM360" s="2">
        <f t="shared" ref="AM360:AO360" si="4942">_xlfn.RANK.EQ(AL360, AL$7:AL$375,0)</f>
        <v>305</v>
      </c>
      <c r="AN360" s="2">
        <v>11</v>
      </c>
      <c r="AO360" s="2">
        <f t="shared" si="4942"/>
        <v>307</v>
      </c>
      <c r="AP360" s="2">
        <v>15</v>
      </c>
      <c r="AQ360" s="2">
        <f t="shared" ref="AQ360:AS360" si="4943">_xlfn.RANK.EQ(AP360, AP$7:AP$375,0)</f>
        <v>308</v>
      </c>
      <c r="AR360" s="2">
        <v>10</v>
      </c>
      <c r="AS360" s="2">
        <f t="shared" si="4943"/>
        <v>313</v>
      </c>
      <c r="AT360" s="2">
        <v>1</v>
      </c>
      <c r="AU360" s="2">
        <f t="shared" ref="AU360:AW360" si="4944">_xlfn.RANK.EQ(AT360, AT$7:AT$375,0)</f>
        <v>350</v>
      </c>
      <c r="AV360" s="2">
        <v>2</v>
      </c>
      <c r="AW360" s="2">
        <f t="shared" si="4944"/>
        <v>327</v>
      </c>
      <c r="AX360" s="2">
        <v>1</v>
      </c>
      <c r="AY360" s="2">
        <f t="shared" ref="AY360:BA360" si="4945">_xlfn.RANK.EQ(AX360, AX$7:AX$375,0)</f>
        <v>265</v>
      </c>
      <c r="AZ360" s="2">
        <v>0</v>
      </c>
      <c r="BA360" s="2">
        <f t="shared" si="4945"/>
        <v>337</v>
      </c>
      <c r="BB360" s="2">
        <v>21</v>
      </c>
      <c r="BC360" s="2">
        <f t="shared" ref="BC360:BE360" si="4946">_xlfn.RANK.EQ(BB360, BB$7:BB$375,0)</f>
        <v>317</v>
      </c>
      <c r="BD360" s="2">
        <v>1</v>
      </c>
      <c r="BE360" s="2">
        <f t="shared" si="4946"/>
        <v>348</v>
      </c>
      <c r="BF360" s="2">
        <v>5</v>
      </c>
      <c r="BG360" s="2">
        <f t="shared" ref="BG360:BI360" si="4947">_xlfn.RANK.EQ(BF360, BF$7:BF$375,0)</f>
        <v>332</v>
      </c>
      <c r="BH360" s="2">
        <v>-36</v>
      </c>
      <c r="BI360" s="2">
        <f t="shared" si="4947"/>
        <v>216</v>
      </c>
    </row>
    <row r="361" spans="1:61" x14ac:dyDescent="0.55000000000000004">
      <c r="A361" s="2">
        <v>355</v>
      </c>
      <c r="B361" s="2" t="s">
        <v>411</v>
      </c>
      <c r="C361" s="2" t="s">
        <v>74</v>
      </c>
      <c r="D361" s="2">
        <v>17</v>
      </c>
      <c r="E361" s="2">
        <f t="shared" si="4485"/>
        <v>333</v>
      </c>
      <c r="F361" s="2">
        <v>0</v>
      </c>
      <c r="G361" s="2">
        <f t="shared" ref="G361:I361" si="4948">_xlfn.RANK.EQ(F361, F$7:F$375,0)</f>
        <v>291</v>
      </c>
      <c r="H361" s="3">
        <v>2.0736111111111111</v>
      </c>
      <c r="I361" s="2">
        <f t="shared" si="4948"/>
        <v>345</v>
      </c>
      <c r="J361" s="5">
        <v>0.12152777777777778</v>
      </c>
      <c r="K361" s="2">
        <f t="shared" ref="K361:M361" si="4949">_xlfn.RANK.EQ(J361, J$7:J$375,0)</f>
        <v>347</v>
      </c>
      <c r="L361" s="2">
        <v>3</v>
      </c>
      <c r="M361" s="2">
        <f t="shared" si="4949"/>
        <v>355</v>
      </c>
      <c r="N361" s="2">
        <v>1</v>
      </c>
      <c r="O361" s="2">
        <f t="shared" ref="O361:Q361" si="4950">_xlfn.RANK.EQ(N361, N$7:N$375,0)</f>
        <v>353</v>
      </c>
      <c r="P361" s="2">
        <v>14</v>
      </c>
      <c r="Q361" s="2">
        <f t="shared" si="4950"/>
        <v>339</v>
      </c>
      <c r="R361" s="4">
        <v>7.0999999999999994E-2</v>
      </c>
      <c r="S361" s="2">
        <f t="shared" ref="S361:U361" si="4951">_xlfn.RANK.EQ(R361, R$7:R$375,0)</f>
        <v>362</v>
      </c>
      <c r="T361" s="2">
        <v>1</v>
      </c>
      <c r="U361" s="2">
        <f t="shared" si="4951"/>
        <v>347</v>
      </c>
      <c r="V361" s="2">
        <v>4</v>
      </c>
      <c r="W361" s="2">
        <f t="shared" ref="W361:Y361" si="4952">_xlfn.RANK.EQ(V361, V$7:V$375,0)</f>
        <v>348</v>
      </c>
      <c r="X361" s="4">
        <v>0.25</v>
      </c>
      <c r="Y361" s="2">
        <f t="shared" si="4952"/>
        <v>349</v>
      </c>
      <c r="Z361" s="2">
        <v>0</v>
      </c>
      <c r="AA361" s="2">
        <f t="shared" ref="AA361:AC361" si="4953">_xlfn.RANK.EQ(Z361, Z$7:Z$375,0)</f>
        <v>329</v>
      </c>
      <c r="AB361" s="2">
        <v>10</v>
      </c>
      <c r="AC361" s="2">
        <f t="shared" si="4953"/>
        <v>306</v>
      </c>
      <c r="AD361" s="4">
        <v>0</v>
      </c>
      <c r="AE361" s="2">
        <f t="shared" ref="AE361:AG361" si="4954">_xlfn.RANK.EQ(AD361, AD$7:AD$375,0)</f>
        <v>329</v>
      </c>
      <c r="AF361" s="2">
        <v>1</v>
      </c>
      <c r="AG361" s="2">
        <f t="shared" si="4954"/>
        <v>330</v>
      </c>
      <c r="AH361" s="2">
        <v>2</v>
      </c>
      <c r="AI361" s="2">
        <f t="shared" ref="AI361:AK361" si="4955">_xlfn.RANK.EQ(AH361, AH$7:AH$375,0)</f>
        <v>333</v>
      </c>
      <c r="AJ361" s="4">
        <v>0.5</v>
      </c>
      <c r="AK361" s="2">
        <f t="shared" si="4955"/>
        <v>306</v>
      </c>
      <c r="AL361" s="2">
        <v>2</v>
      </c>
      <c r="AM361" s="2">
        <f t="shared" ref="AM361:AO361" si="4956">_xlfn.RANK.EQ(AL361, AL$7:AL$375,0)</f>
        <v>332</v>
      </c>
      <c r="AN361" s="2">
        <v>6</v>
      </c>
      <c r="AO361" s="2">
        <f t="shared" si="4956"/>
        <v>326</v>
      </c>
      <c r="AP361" s="2">
        <v>8</v>
      </c>
      <c r="AQ361" s="2">
        <f t="shared" ref="AQ361:AS361" si="4957">_xlfn.RANK.EQ(AP361, AP$7:AP$375,0)</f>
        <v>328</v>
      </c>
      <c r="AR361" s="2">
        <v>4</v>
      </c>
      <c r="AS361" s="2">
        <f t="shared" si="4957"/>
        <v>327</v>
      </c>
      <c r="AT361" s="2">
        <v>5</v>
      </c>
      <c r="AU361" s="2">
        <f t="shared" ref="AU361:AW361" si="4958">_xlfn.RANK.EQ(AT361, AT$7:AT$375,0)</f>
        <v>332</v>
      </c>
      <c r="AV361" s="2">
        <v>2</v>
      </c>
      <c r="AW361" s="2">
        <f t="shared" si="4958"/>
        <v>327</v>
      </c>
      <c r="AX361" s="2">
        <v>1</v>
      </c>
      <c r="AY361" s="2">
        <f t="shared" ref="AY361:BA361" si="4959">_xlfn.RANK.EQ(AX361, AX$7:AX$375,0)</f>
        <v>265</v>
      </c>
      <c r="AZ361" s="2">
        <v>1</v>
      </c>
      <c r="BA361" s="2">
        <f t="shared" si="4959"/>
        <v>308</v>
      </c>
      <c r="BB361" s="2">
        <v>3</v>
      </c>
      <c r="BC361" s="2">
        <f t="shared" ref="BC361:BE361" si="4960">_xlfn.RANK.EQ(BB361, BB$7:BB$375,0)</f>
        <v>353</v>
      </c>
      <c r="BD361" s="2">
        <v>2</v>
      </c>
      <c r="BE361" s="2">
        <f t="shared" si="4960"/>
        <v>342</v>
      </c>
      <c r="BF361" s="2">
        <v>-3</v>
      </c>
      <c r="BG361" s="2">
        <f t="shared" ref="BG361:BI361" si="4961">_xlfn.RANK.EQ(BF361, BF$7:BF$375,0)</f>
        <v>352</v>
      </c>
      <c r="BH361" s="2">
        <v>-48</v>
      </c>
      <c r="BI361" s="2">
        <f t="shared" si="4961"/>
        <v>230</v>
      </c>
    </row>
    <row r="362" spans="1:61" x14ac:dyDescent="0.55000000000000004">
      <c r="A362" s="2">
        <v>355</v>
      </c>
      <c r="B362" s="2" t="s">
        <v>412</v>
      </c>
      <c r="C362" s="2" t="s">
        <v>69</v>
      </c>
      <c r="D362" s="2">
        <v>1</v>
      </c>
      <c r="E362" s="2">
        <f t="shared" si="4485"/>
        <v>367</v>
      </c>
      <c r="F362" s="2">
        <v>0</v>
      </c>
      <c r="G362" s="2">
        <f t="shared" ref="G362:I362" si="4962">_xlfn.RANK.EQ(F362, F$7:F$375,0)</f>
        <v>291</v>
      </c>
      <c r="H362" s="5">
        <v>5.0694444444444445E-2</v>
      </c>
      <c r="I362" s="2">
        <f t="shared" si="4962"/>
        <v>368</v>
      </c>
      <c r="J362" s="5">
        <v>5.0694444444444445E-2</v>
      </c>
      <c r="K362" s="2">
        <f t="shared" ref="K362:M362" si="4963">_xlfn.RANK.EQ(J362, J$7:J$375,0)</f>
        <v>365</v>
      </c>
      <c r="L362" s="2">
        <v>3</v>
      </c>
      <c r="M362" s="2">
        <f t="shared" si="4963"/>
        <v>355</v>
      </c>
      <c r="N362" s="2">
        <v>1</v>
      </c>
      <c r="O362" s="2">
        <f t="shared" ref="O362:Q362" si="4964">_xlfn.RANK.EQ(N362, N$7:N$375,0)</f>
        <v>353</v>
      </c>
      <c r="P362" s="2">
        <v>1</v>
      </c>
      <c r="Q362" s="2">
        <f t="shared" si="4964"/>
        <v>367</v>
      </c>
      <c r="R362" s="4">
        <v>1</v>
      </c>
      <c r="S362" s="2">
        <f t="shared" ref="S362:U362" si="4965">_xlfn.RANK.EQ(R362, R$7:R$375,0)</f>
        <v>1</v>
      </c>
      <c r="T362" s="2">
        <v>0</v>
      </c>
      <c r="U362" s="2">
        <f t="shared" si="4965"/>
        <v>359</v>
      </c>
      <c r="V362" s="2">
        <v>0</v>
      </c>
      <c r="W362" s="2">
        <f t="shared" ref="W362:Y362" si="4966">_xlfn.RANK.EQ(V362, V$7:V$375,0)</f>
        <v>365</v>
      </c>
      <c r="X362" s="4">
        <v>0</v>
      </c>
      <c r="Y362" s="2">
        <f t="shared" si="4966"/>
        <v>359</v>
      </c>
      <c r="Z362" s="2">
        <v>1</v>
      </c>
      <c r="AA362" s="2">
        <f t="shared" ref="AA362:AC362" si="4967">_xlfn.RANK.EQ(Z362, Z$7:Z$375,0)</f>
        <v>320</v>
      </c>
      <c r="AB362" s="2">
        <v>1</v>
      </c>
      <c r="AC362" s="2">
        <f t="shared" si="4967"/>
        <v>342</v>
      </c>
      <c r="AD362" s="4">
        <v>1</v>
      </c>
      <c r="AE362" s="2">
        <f t="shared" ref="AE362:AG362" si="4968">_xlfn.RANK.EQ(AD362, AD$7:AD$375,0)</f>
        <v>1</v>
      </c>
      <c r="AF362" s="2">
        <v>0</v>
      </c>
      <c r="AG362" s="2">
        <f t="shared" si="4968"/>
        <v>348</v>
      </c>
      <c r="AH362" s="2">
        <v>0</v>
      </c>
      <c r="AI362" s="2">
        <f t="shared" ref="AI362:AK362" si="4969">_xlfn.RANK.EQ(AH362, AH$7:AH$375,0)</f>
        <v>351</v>
      </c>
      <c r="AJ362" s="4">
        <v>0</v>
      </c>
      <c r="AK362" s="2">
        <f t="shared" si="4969"/>
        <v>348</v>
      </c>
      <c r="AL362" s="2">
        <v>0</v>
      </c>
      <c r="AM362" s="2">
        <f t="shared" ref="AM362:AO362" si="4970">_xlfn.RANK.EQ(AL362, AL$7:AL$375,0)</f>
        <v>354</v>
      </c>
      <c r="AN362" s="2">
        <v>0</v>
      </c>
      <c r="AO362" s="2">
        <f t="shared" si="4970"/>
        <v>363</v>
      </c>
      <c r="AP362" s="2">
        <v>0</v>
      </c>
      <c r="AQ362" s="2">
        <f t="shared" ref="AQ362:AS362" si="4971">_xlfn.RANK.EQ(AP362, AP$7:AP$375,0)</f>
        <v>366</v>
      </c>
      <c r="AR362" s="2">
        <v>0</v>
      </c>
      <c r="AS362" s="2">
        <f t="shared" si="4971"/>
        <v>354</v>
      </c>
      <c r="AT362" s="2">
        <v>0</v>
      </c>
      <c r="AU362" s="2">
        <f t="shared" ref="AU362:AW362" si="4972">_xlfn.RANK.EQ(AT362, AT$7:AT$375,0)</f>
        <v>360</v>
      </c>
      <c r="AV362" s="2">
        <v>0</v>
      </c>
      <c r="AW362" s="2">
        <f t="shared" si="4972"/>
        <v>352</v>
      </c>
      <c r="AX362" s="2">
        <v>0</v>
      </c>
      <c r="AY362" s="2">
        <f t="shared" ref="AY362:BA362" si="4973">_xlfn.RANK.EQ(AX362, AX$7:AX$375,0)</f>
        <v>298</v>
      </c>
      <c r="AZ362" s="2">
        <v>0</v>
      </c>
      <c r="BA362" s="2">
        <f t="shared" si="4973"/>
        <v>337</v>
      </c>
      <c r="BB362" s="2">
        <v>0</v>
      </c>
      <c r="BC362" s="2">
        <f t="shared" ref="BC362:BE362" si="4974">_xlfn.RANK.EQ(BB362, BB$7:BB$375,0)</f>
        <v>365</v>
      </c>
      <c r="BD362" s="2">
        <v>0</v>
      </c>
      <c r="BE362" s="2">
        <f t="shared" si="4974"/>
        <v>357</v>
      </c>
      <c r="BF362" s="2">
        <v>3</v>
      </c>
      <c r="BG362" s="2">
        <f t="shared" ref="BG362:BI362" si="4975">_xlfn.RANK.EQ(BF362, BF$7:BF$375,0)</f>
        <v>335</v>
      </c>
      <c r="BH362" s="2">
        <v>3</v>
      </c>
      <c r="BI362" s="2">
        <f t="shared" si="4975"/>
        <v>144</v>
      </c>
    </row>
    <row r="363" spans="1:61" x14ac:dyDescent="0.55000000000000004">
      <c r="A363" s="2">
        <v>355</v>
      </c>
      <c r="B363" s="2" t="s">
        <v>413</v>
      </c>
      <c r="C363" s="2" t="s">
        <v>38</v>
      </c>
      <c r="D363" s="2">
        <v>14</v>
      </c>
      <c r="E363" s="2">
        <f t="shared" si="4485"/>
        <v>340</v>
      </c>
      <c r="F363" s="2">
        <v>0</v>
      </c>
      <c r="G363" s="2">
        <f t="shared" ref="G363:I363" si="4976">_xlfn.RANK.EQ(F363, F$7:F$375,0)</f>
        <v>291</v>
      </c>
      <c r="H363" s="3">
        <v>1.5881944444444445</v>
      </c>
      <c r="I363" s="2">
        <f t="shared" si="4976"/>
        <v>347</v>
      </c>
      <c r="J363" s="5">
        <v>0.11319444444444444</v>
      </c>
      <c r="K363" s="2">
        <f t="shared" ref="K363:M363" si="4977">_xlfn.RANK.EQ(J363, J$7:J$375,0)</f>
        <v>349</v>
      </c>
      <c r="L363" s="2">
        <v>3</v>
      </c>
      <c r="M363" s="2">
        <f t="shared" si="4977"/>
        <v>355</v>
      </c>
      <c r="N363" s="2">
        <v>1</v>
      </c>
      <c r="O363" s="2">
        <f t="shared" ref="O363:Q363" si="4978">_xlfn.RANK.EQ(N363, N$7:N$375,0)</f>
        <v>353</v>
      </c>
      <c r="P363" s="2">
        <v>5</v>
      </c>
      <c r="Q363" s="2">
        <f t="shared" si="4978"/>
        <v>355</v>
      </c>
      <c r="R363" s="4">
        <v>0.2</v>
      </c>
      <c r="S363" s="2">
        <f t="shared" ref="S363:U363" si="4979">_xlfn.RANK.EQ(R363, R$7:R$375,0)</f>
        <v>355</v>
      </c>
      <c r="T363" s="2">
        <v>1</v>
      </c>
      <c r="U363" s="2">
        <f t="shared" si="4979"/>
        <v>347</v>
      </c>
      <c r="V363" s="2">
        <v>4</v>
      </c>
      <c r="W363" s="2">
        <f t="shared" ref="W363:Y363" si="4980">_xlfn.RANK.EQ(V363, V$7:V$375,0)</f>
        <v>348</v>
      </c>
      <c r="X363" s="4">
        <v>0.25</v>
      </c>
      <c r="Y363" s="2">
        <f t="shared" si="4980"/>
        <v>349</v>
      </c>
      <c r="Z363" s="2">
        <v>0</v>
      </c>
      <c r="AA363" s="2">
        <f t="shared" ref="AA363:AC363" si="4981">_xlfn.RANK.EQ(Z363, Z$7:Z$375,0)</f>
        <v>329</v>
      </c>
      <c r="AB363" s="2">
        <v>1</v>
      </c>
      <c r="AC363" s="2">
        <f t="shared" si="4981"/>
        <v>342</v>
      </c>
      <c r="AD363" s="4">
        <v>0</v>
      </c>
      <c r="AE363" s="2">
        <f t="shared" ref="AE363:AG363" si="4982">_xlfn.RANK.EQ(AD363, AD$7:AD$375,0)</f>
        <v>329</v>
      </c>
      <c r="AF363" s="2">
        <v>1</v>
      </c>
      <c r="AG363" s="2">
        <f t="shared" si="4982"/>
        <v>330</v>
      </c>
      <c r="AH363" s="2">
        <v>2</v>
      </c>
      <c r="AI363" s="2">
        <f t="shared" ref="AI363:AK363" si="4983">_xlfn.RANK.EQ(AH363, AH$7:AH$375,0)</f>
        <v>333</v>
      </c>
      <c r="AJ363" s="4">
        <v>0.5</v>
      </c>
      <c r="AK363" s="2">
        <f t="shared" si="4983"/>
        <v>306</v>
      </c>
      <c r="AL363" s="2">
        <v>3</v>
      </c>
      <c r="AM363" s="2">
        <f t="shared" ref="AM363:AO363" si="4984">_xlfn.RANK.EQ(AL363, AL$7:AL$375,0)</f>
        <v>319</v>
      </c>
      <c r="AN363" s="2">
        <v>2</v>
      </c>
      <c r="AO363" s="2">
        <f t="shared" si="4984"/>
        <v>350</v>
      </c>
      <c r="AP363" s="2">
        <v>5</v>
      </c>
      <c r="AQ363" s="2">
        <f t="shared" ref="AQ363:AS363" si="4985">_xlfn.RANK.EQ(AP363, AP$7:AP$375,0)</f>
        <v>343</v>
      </c>
      <c r="AR363" s="2">
        <v>2</v>
      </c>
      <c r="AS363" s="2">
        <f t="shared" si="4985"/>
        <v>343</v>
      </c>
      <c r="AT363" s="2">
        <v>3</v>
      </c>
      <c r="AU363" s="2">
        <f t="shared" ref="AU363:AW363" si="4986">_xlfn.RANK.EQ(AT363, AT$7:AT$375,0)</f>
        <v>339</v>
      </c>
      <c r="AV363" s="2">
        <v>1</v>
      </c>
      <c r="AW363" s="2">
        <f t="shared" si="4986"/>
        <v>335</v>
      </c>
      <c r="AX363" s="2">
        <v>0</v>
      </c>
      <c r="AY363" s="2">
        <f t="shared" ref="AY363:BA363" si="4987">_xlfn.RANK.EQ(AX363, AX$7:AX$375,0)</f>
        <v>298</v>
      </c>
      <c r="AZ363" s="2">
        <v>1</v>
      </c>
      <c r="BA363" s="2">
        <f t="shared" si="4987"/>
        <v>308</v>
      </c>
      <c r="BB363" s="2">
        <v>12</v>
      </c>
      <c r="BC363" s="2">
        <f t="shared" ref="BC363:BE363" si="4988">_xlfn.RANK.EQ(BB363, BB$7:BB$375,0)</f>
        <v>331</v>
      </c>
      <c r="BD363" s="2">
        <v>3</v>
      </c>
      <c r="BE363" s="2">
        <f t="shared" si="4988"/>
        <v>334</v>
      </c>
      <c r="BF363" s="2">
        <v>-7</v>
      </c>
      <c r="BG363" s="2">
        <f t="shared" ref="BG363:BI363" si="4989">_xlfn.RANK.EQ(BF363, BF$7:BF$375,0)</f>
        <v>363</v>
      </c>
      <c r="BH363" s="2">
        <v>-3</v>
      </c>
      <c r="BI363" s="2">
        <f t="shared" si="4989"/>
        <v>153</v>
      </c>
    </row>
    <row r="364" spans="1:61" x14ac:dyDescent="0.55000000000000004">
      <c r="A364" s="2">
        <v>358</v>
      </c>
      <c r="B364" s="2" t="s">
        <v>414</v>
      </c>
      <c r="C364" s="2" t="s">
        <v>89</v>
      </c>
      <c r="D364" s="2">
        <v>5</v>
      </c>
      <c r="E364" s="2">
        <f t="shared" si="4485"/>
        <v>360</v>
      </c>
      <c r="F364" s="2">
        <v>0</v>
      </c>
      <c r="G364" s="2">
        <f t="shared" ref="G364:I364" si="4990">_xlfn.RANK.EQ(F364, F$7:F$375,0)</f>
        <v>291</v>
      </c>
      <c r="H364" s="5">
        <v>0.18611111111111112</v>
      </c>
      <c r="I364" s="2">
        <f t="shared" si="4990"/>
        <v>367</v>
      </c>
      <c r="J364" s="5">
        <v>3.6805555555555557E-2</v>
      </c>
      <c r="K364" s="2">
        <f t="shared" ref="K364:M364" si="4991">_xlfn.RANK.EQ(J364, J$7:J$375,0)</f>
        <v>367</v>
      </c>
      <c r="L364" s="2">
        <v>2</v>
      </c>
      <c r="M364" s="2">
        <f t="shared" si="4991"/>
        <v>358</v>
      </c>
      <c r="N364" s="2">
        <v>1</v>
      </c>
      <c r="O364" s="2">
        <f t="shared" ref="O364:Q364" si="4992">_xlfn.RANK.EQ(N364, N$7:N$375,0)</f>
        <v>353</v>
      </c>
      <c r="P364" s="2">
        <v>4</v>
      </c>
      <c r="Q364" s="2">
        <f t="shared" si="4992"/>
        <v>358</v>
      </c>
      <c r="R364" s="4">
        <v>0.25</v>
      </c>
      <c r="S364" s="2">
        <f t="shared" ref="S364:U364" si="4993">_xlfn.RANK.EQ(R364, R$7:R$375,0)</f>
        <v>346</v>
      </c>
      <c r="T364" s="2">
        <v>1</v>
      </c>
      <c r="U364" s="2">
        <f t="shared" si="4993"/>
        <v>347</v>
      </c>
      <c r="V364" s="2">
        <v>3</v>
      </c>
      <c r="W364" s="2">
        <f t="shared" ref="W364:Y364" si="4994">_xlfn.RANK.EQ(V364, V$7:V$375,0)</f>
        <v>354</v>
      </c>
      <c r="X364" s="4">
        <v>0.33300000000000002</v>
      </c>
      <c r="Y364" s="2">
        <f t="shared" si="4994"/>
        <v>333</v>
      </c>
      <c r="Z364" s="2">
        <v>0</v>
      </c>
      <c r="AA364" s="2">
        <f t="shared" ref="AA364:AC364" si="4995">_xlfn.RANK.EQ(Z364, Z$7:Z$375,0)</f>
        <v>329</v>
      </c>
      <c r="AB364" s="2">
        <v>1</v>
      </c>
      <c r="AC364" s="2">
        <f t="shared" si="4995"/>
        <v>342</v>
      </c>
      <c r="AD364" s="4">
        <v>0</v>
      </c>
      <c r="AE364" s="2">
        <f t="shared" ref="AE364:AG364" si="4996">_xlfn.RANK.EQ(AD364, AD$7:AD$375,0)</f>
        <v>329</v>
      </c>
      <c r="AF364" s="2">
        <v>0</v>
      </c>
      <c r="AG364" s="2">
        <f t="shared" si="4996"/>
        <v>348</v>
      </c>
      <c r="AH364" s="2">
        <v>0</v>
      </c>
      <c r="AI364" s="2">
        <f t="shared" ref="AI364:AK364" si="4997">_xlfn.RANK.EQ(AH364, AH$7:AH$375,0)</f>
        <v>351</v>
      </c>
      <c r="AJ364" s="4">
        <v>0</v>
      </c>
      <c r="AK364" s="2">
        <f t="shared" si="4997"/>
        <v>348</v>
      </c>
      <c r="AL364" s="2">
        <v>1</v>
      </c>
      <c r="AM364" s="2">
        <f t="shared" ref="AM364:AO364" si="4998">_xlfn.RANK.EQ(AL364, AL$7:AL$375,0)</f>
        <v>341</v>
      </c>
      <c r="AN364" s="2">
        <v>2</v>
      </c>
      <c r="AO364" s="2">
        <f t="shared" si="4998"/>
        <v>350</v>
      </c>
      <c r="AP364" s="2">
        <v>3</v>
      </c>
      <c r="AQ364" s="2">
        <f t="shared" ref="AQ364:AS364" si="4999">_xlfn.RANK.EQ(AP364, AP$7:AP$375,0)</f>
        <v>352</v>
      </c>
      <c r="AR364" s="2">
        <v>0</v>
      </c>
      <c r="AS364" s="2">
        <f t="shared" si="4999"/>
        <v>354</v>
      </c>
      <c r="AT364" s="2">
        <v>1</v>
      </c>
      <c r="AU364" s="2">
        <f t="shared" ref="AU364:AW364" si="5000">_xlfn.RANK.EQ(AT364, AT$7:AT$375,0)</f>
        <v>350</v>
      </c>
      <c r="AV364" s="2">
        <v>1</v>
      </c>
      <c r="AW364" s="2">
        <f t="shared" si="5000"/>
        <v>335</v>
      </c>
      <c r="AX364" s="2">
        <v>0</v>
      </c>
      <c r="AY364" s="2">
        <f t="shared" ref="AY364:BA364" si="5001">_xlfn.RANK.EQ(AX364, AX$7:AX$375,0)</f>
        <v>298</v>
      </c>
      <c r="AZ364" s="2">
        <v>0</v>
      </c>
      <c r="BA364" s="2">
        <f t="shared" si="5001"/>
        <v>337</v>
      </c>
      <c r="BB364" s="2">
        <v>1</v>
      </c>
      <c r="BC364" s="2">
        <f t="shared" ref="BC364:BE364" si="5002">_xlfn.RANK.EQ(BB364, BB$7:BB$375,0)</f>
        <v>362</v>
      </c>
      <c r="BD364" s="2">
        <v>0</v>
      </c>
      <c r="BE364" s="2">
        <f t="shared" si="5002"/>
        <v>357</v>
      </c>
      <c r="BF364" s="2">
        <v>1</v>
      </c>
      <c r="BG364" s="2">
        <f t="shared" ref="BG364:BI364" si="5003">_xlfn.RANK.EQ(BF364, BF$7:BF$375,0)</f>
        <v>339</v>
      </c>
      <c r="BH364" s="2">
        <v>-7</v>
      </c>
      <c r="BI364" s="2">
        <f t="shared" si="5003"/>
        <v>160</v>
      </c>
    </row>
    <row r="365" spans="1:61" x14ac:dyDescent="0.55000000000000004">
      <c r="A365" s="2">
        <v>358</v>
      </c>
      <c r="B365" s="2" t="s">
        <v>415</v>
      </c>
      <c r="C365" s="2" t="s">
        <v>32</v>
      </c>
      <c r="D365" s="2">
        <v>9</v>
      </c>
      <c r="E365" s="2">
        <f t="shared" si="4485"/>
        <v>350</v>
      </c>
      <c r="F365" s="2">
        <v>0</v>
      </c>
      <c r="G365" s="2">
        <f t="shared" ref="G365:I365" si="5004">_xlfn.RANK.EQ(F365, F$7:F$375,0)</f>
        <v>291</v>
      </c>
      <c r="H365" s="5">
        <v>0.33263888888888887</v>
      </c>
      <c r="I365" s="2">
        <f t="shared" si="5004"/>
        <v>363</v>
      </c>
      <c r="J365" s="5">
        <v>3.6805555555555557E-2</v>
      </c>
      <c r="K365" s="2">
        <f t="shared" ref="K365:M365" si="5005">_xlfn.RANK.EQ(J365, J$7:J$375,0)</f>
        <v>367</v>
      </c>
      <c r="L365" s="2">
        <v>2</v>
      </c>
      <c r="M365" s="2">
        <f t="shared" si="5005"/>
        <v>358</v>
      </c>
      <c r="N365" s="2">
        <v>1</v>
      </c>
      <c r="O365" s="2">
        <f t="shared" ref="O365:Q365" si="5006">_xlfn.RANK.EQ(N365, N$7:N$375,0)</f>
        <v>353</v>
      </c>
      <c r="P365" s="2">
        <v>4</v>
      </c>
      <c r="Q365" s="2">
        <f t="shared" si="5006"/>
        <v>358</v>
      </c>
      <c r="R365" s="4">
        <v>0.25</v>
      </c>
      <c r="S365" s="2">
        <f t="shared" ref="S365:U365" si="5007">_xlfn.RANK.EQ(R365, R$7:R$375,0)</f>
        <v>346</v>
      </c>
      <c r="T365" s="2">
        <v>1</v>
      </c>
      <c r="U365" s="2">
        <f t="shared" si="5007"/>
        <v>347</v>
      </c>
      <c r="V365" s="2">
        <v>1</v>
      </c>
      <c r="W365" s="2">
        <f t="shared" ref="W365:Y365" si="5008">_xlfn.RANK.EQ(V365, V$7:V$375,0)</f>
        <v>361</v>
      </c>
      <c r="X365" s="4">
        <v>1</v>
      </c>
      <c r="Y365" s="2">
        <f t="shared" si="5008"/>
        <v>1</v>
      </c>
      <c r="Z365" s="2">
        <v>0</v>
      </c>
      <c r="AA365" s="2">
        <f t="shared" ref="AA365:AC365" si="5009">_xlfn.RANK.EQ(Z365, Z$7:Z$375,0)</f>
        <v>329</v>
      </c>
      <c r="AB365" s="2">
        <v>3</v>
      </c>
      <c r="AC365" s="2">
        <f t="shared" si="5009"/>
        <v>328</v>
      </c>
      <c r="AD365" s="4">
        <v>0</v>
      </c>
      <c r="AE365" s="2">
        <f t="shared" ref="AE365:AG365" si="5010">_xlfn.RANK.EQ(AD365, AD$7:AD$375,0)</f>
        <v>329</v>
      </c>
      <c r="AF365" s="2">
        <v>0</v>
      </c>
      <c r="AG365" s="2">
        <f t="shared" si="5010"/>
        <v>348</v>
      </c>
      <c r="AH365" s="2">
        <v>4</v>
      </c>
      <c r="AI365" s="2">
        <f t="shared" ref="AI365:AK365" si="5011">_xlfn.RANK.EQ(AH365, AH$7:AH$375,0)</f>
        <v>321</v>
      </c>
      <c r="AJ365" s="4">
        <v>0</v>
      </c>
      <c r="AK365" s="2">
        <f t="shared" si="5011"/>
        <v>348</v>
      </c>
      <c r="AL365" s="2">
        <v>1</v>
      </c>
      <c r="AM365" s="2">
        <f t="shared" ref="AM365:AO365" si="5012">_xlfn.RANK.EQ(AL365, AL$7:AL$375,0)</f>
        <v>341</v>
      </c>
      <c r="AN365" s="2">
        <v>1</v>
      </c>
      <c r="AO365" s="2">
        <f t="shared" si="5012"/>
        <v>354</v>
      </c>
      <c r="AP365" s="2">
        <v>2</v>
      </c>
      <c r="AQ365" s="2">
        <f t="shared" ref="AQ365:AS365" si="5013">_xlfn.RANK.EQ(AP365, AP$7:AP$375,0)</f>
        <v>354</v>
      </c>
      <c r="AR365" s="2">
        <v>0</v>
      </c>
      <c r="AS365" s="2">
        <f t="shared" si="5013"/>
        <v>354</v>
      </c>
      <c r="AT365" s="2">
        <v>0</v>
      </c>
      <c r="AU365" s="2">
        <f t="shared" ref="AU365:AW365" si="5014">_xlfn.RANK.EQ(AT365, AT$7:AT$375,0)</f>
        <v>360</v>
      </c>
      <c r="AV365" s="2">
        <v>0</v>
      </c>
      <c r="AW365" s="2">
        <f t="shared" si="5014"/>
        <v>352</v>
      </c>
      <c r="AX365" s="2">
        <v>0</v>
      </c>
      <c r="AY365" s="2">
        <f t="shared" ref="AY365:BA365" si="5015">_xlfn.RANK.EQ(AX365, AX$7:AX$375,0)</f>
        <v>298</v>
      </c>
      <c r="AZ365" s="2">
        <v>0</v>
      </c>
      <c r="BA365" s="2">
        <f t="shared" si="5015"/>
        <v>337</v>
      </c>
      <c r="BB365" s="2">
        <v>1</v>
      </c>
      <c r="BC365" s="2">
        <f t="shared" ref="BC365:BE365" si="5016">_xlfn.RANK.EQ(BB365, BB$7:BB$375,0)</f>
        <v>362</v>
      </c>
      <c r="BD365" s="2">
        <v>2</v>
      </c>
      <c r="BE365" s="2">
        <f t="shared" si="5016"/>
        <v>342</v>
      </c>
      <c r="BF365" s="2">
        <v>-2</v>
      </c>
      <c r="BG365" s="2">
        <f t="shared" ref="BG365:BI365" si="5017">_xlfn.RANK.EQ(BF365, BF$7:BF$375,0)</f>
        <v>348</v>
      </c>
      <c r="BH365" s="2">
        <v>-8</v>
      </c>
      <c r="BI365" s="2">
        <f t="shared" si="5017"/>
        <v>163</v>
      </c>
    </row>
    <row r="366" spans="1:61" x14ac:dyDescent="0.55000000000000004">
      <c r="A366" s="2">
        <v>358</v>
      </c>
      <c r="B366" s="2" t="s">
        <v>416</v>
      </c>
      <c r="C366" s="2" t="s">
        <v>69</v>
      </c>
      <c r="D366" s="2">
        <v>4</v>
      </c>
      <c r="E366" s="2">
        <f t="shared" si="4485"/>
        <v>362</v>
      </c>
      <c r="F366" s="2">
        <v>0</v>
      </c>
      <c r="G366" s="2">
        <f t="shared" ref="G366:I366" si="5018">_xlfn.RANK.EQ(F366, F$7:F$375,0)</f>
        <v>291</v>
      </c>
      <c r="H366" s="5">
        <v>0.22708333333333333</v>
      </c>
      <c r="I366" s="2">
        <f t="shared" si="5018"/>
        <v>366</v>
      </c>
      <c r="J366" s="5">
        <v>5.6250000000000001E-2</v>
      </c>
      <c r="K366" s="2">
        <f t="shared" ref="K366:M366" si="5019">_xlfn.RANK.EQ(J366, J$7:J$375,0)</f>
        <v>364</v>
      </c>
      <c r="L366" s="2">
        <v>2</v>
      </c>
      <c r="M366" s="2">
        <f t="shared" si="5019"/>
        <v>358</v>
      </c>
      <c r="N366" s="2">
        <v>1</v>
      </c>
      <c r="O366" s="2">
        <f t="shared" ref="O366:Q366" si="5020">_xlfn.RANK.EQ(N366, N$7:N$375,0)</f>
        <v>353</v>
      </c>
      <c r="P366" s="2">
        <v>5</v>
      </c>
      <c r="Q366" s="2">
        <f t="shared" si="5020"/>
        <v>355</v>
      </c>
      <c r="R366" s="4">
        <v>0.2</v>
      </c>
      <c r="S366" s="2">
        <f t="shared" ref="S366:U366" si="5021">_xlfn.RANK.EQ(R366, R$7:R$375,0)</f>
        <v>355</v>
      </c>
      <c r="T366" s="2">
        <v>1</v>
      </c>
      <c r="U366" s="2">
        <f t="shared" si="5021"/>
        <v>347</v>
      </c>
      <c r="V366" s="2">
        <v>4</v>
      </c>
      <c r="W366" s="2">
        <f t="shared" ref="W366:Y366" si="5022">_xlfn.RANK.EQ(V366, V$7:V$375,0)</f>
        <v>348</v>
      </c>
      <c r="X366" s="4">
        <v>0.25</v>
      </c>
      <c r="Y366" s="2">
        <f t="shared" si="5022"/>
        <v>349</v>
      </c>
      <c r="Z366" s="2">
        <v>0</v>
      </c>
      <c r="AA366" s="2">
        <f t="shared" ref="AA366:AC366" si="5023">_xlfn.RANK.EQ(Z366, Z$7:Z$375,0)</f>
        <v>329</v>
      </c>
      <c r="AB366" s="2">
        <v>1</v>
      </c>
      <c r="AC366" s="2">
        <f t="shared" si="5023"/>
        <v>342</v>
      </c>
      <c r="AD366" s="4">
        <v>0</v>
      </c>
      <c r="AE366" s="2">
        <f t="shared" ref="AE366:AG366" si="5024">_xlfn.RANK.EQ(AD366, AD$7:AD$375,0)</f>
        <v>329</v>
      </c>
      <c r="AF366" s="2">
        <v>0</v>
      </c>
      <c r="AG366" s="2">
        <f t="shared" si="5024"/>
        <v>348</v>
      </c>
      <c r="AH366" s="2">
        <v>0</v>
      </c>
      <c r="AI366" s="2">
        <f t="shared" ref="AI366:AK366" si="5025">_xlfn.RANK.EQ(AH366, AH$7:AH$375,0)</f>
        <v>351</v>
      </c>
      <c r="AJ366" s="4">
        <v>0</v>
      </c>
      <c r="AK366" s="2">
        <f t="shared" si="5025"/>
        <v>348</v>
      </c>
      <c r="AL366" s="2">
        <v>0</v>
      </c>
      <c r="AM366" s="2">
        <f t="shared" ref="AM366:AO366" si="5026">_xlfn.RANK.EQ(AL366, AL$7:AL$375,0)</f>
        <v>354</v>
      </c>
      <c r="AN366" s="2">
        <v>1</v>
      </c>
      <c r="AO366" s="2">
        <f t="shared" si="5026"/>
        <v>354</v>
      </c>
      <c r="AP366" s="2">
        <v>1</v>
      </c>
      <c r="AQ366" s="2">
        <f t="shared" ref="AQ366:AS366" si="5027">_xlfn.RANK.EQ(AP366, AP$7:AP$375,0)</f>
        <v>356</v>
      </c>
      <c r="AR366" s="2">
        <v>0</v>
      </c>
      <c r="AS366" s="2">
        <f t="shared" si="5027"/>
        <v>354</v>
      </c>
      <c r="AT366" s="2">
        <v>0</v>
      </c>
      <c r="AU366" s="2">
        <f t="shared" ref="AU366:AW366" si="5028">_xlfn.RANK.EQ(AT366, AT$7:AT$375,0)</f>
        <v>360</v>
      </c>
      <c r="AV366" s="2">
        <v>1</v>
      </c>
      <c r="AW366" s="2">
        <f t="shared" si="5028"/>
        <v>335</v>
      </c>
      <c r="AX366" s="2">
        <v>0</v>
      </c>
      <c r="AY366" s="2">
        <f t="shared" ref="AY366:BA366" si="5029">_xlfn.RANK.EQ(AX366, AX$7:AX$375,0)</f>
        <v>298</v>
      </c>
      <c r="AZ366" s="2">
        <v>0</v>
      </c>
      <c r="BA366" s="2">
        <f t="shared" si="5029"/>
        <v>337</v>
      </c>
      <c r="BB366" s="2">
        <v>1</v>
      </c>
      <c r="BC366" s="2">
        <f t="shared" ref="BC366:BE366" si="5030">_xlfn.RANK.EQ(BB366, BB$7:BB$375,0)</f>
        <v>362</v>
      </c>
      <c r="BD366" s="2">
        <v>0</v>
      </c>
      <c r="BE366" s="2">
        <f t="shared" si="5030"/>
        <v>357</v>
      </c>
      <c r="BF366" s="2">
        <v>-1</v>
      </c>
      <c r="BG366" s="2">
        <f t="shared" ref="BG366:BI366" si="5031">_xlfn.RANK.EQ(BF366, BF$7:BF$375,0)</f>
        <v>344</v>
      </c>
      <c r="BH366" s="2">
        <v>-7</v>
      </c>
      <c r="BI366" s="2">
        <f t="shared" si="5031"/>
        <v>160</v>
      </c>
    </row>
    <row r="367" spans="1:61" x14ac:dyDescent="0.55000000000000004">
      <c r="A367" s="2">
        <v>358</v>
      </c>
      <c r="B367" s="2" t="s">
        <v>417</v>
      </c>
      <c r="C367" s="2" t="s">
        <v>34</v>
      </c>
      <c r="D367" s="2">
        <v>4</v>
      </c>
      <c r="E367" s="2">
        <f t="shared" si="4485"/>
        <v>362</v>
      </c>
      <c r="F367" s="2">
        <v>0</v>
      </c>
      <c r="G367" s="2">
        <f t="shared" ref="G367:I367" si="5032">_xlfn.RANK.EQ(F367, F$7:F$375,0)</f>
        <v>291</v>
      </c>
      <c r="H367" s="5">
        <v>0.96111111111111114</v>
      </c>
      <c r="I367" s="2">
        <f t="shared" si="5032"/>
        <v>354</v>
      </c>
      <c r="J367" s="5">
        <v>0.24027777777777778</v>
      </c>
      <c r="K367" s="2">
        <f t="shared" ref="K367:M367" si="5033">_xlfn.RANK.EQ(J367, J$7:J$375,0)</f>
        <v>318</v>
      </c>
      <c r="L367" s="2">
        <v>2</v>
      </c>
      <c r="M367" s="2">
        <f t="shared" si="5033"/>
        <v>358</v>
      </c>
      <c r="N367" s="2">
        <v>1</v>
      </c>
      <c r="O367" s="2">
        <f t="shared" ref="O367:Q367" si="5034">_xlfn.RANK.EQ(N367, N$7:N$375,0)</f>
        <v>353</v>
      </c>
      <c r="P367" s="2">
        <v>4</v>
      </c>
      <c r="Q367" s="2">
        <f t="shared" si="5034"/>
        <v>358</v>
      </c>
      <c r="R367" s="4">
        <v>0.25</v>
      </c>
      <c r="S367" s="2">
        <f t="shared" ref="S367:U367" si="5035">_xlfn.RANK.EQ(R367, R$7:R$375,0)</f>
        <v>346</v>
      </c>
      <c r="T367" s="2">
        <v>1</v>
      </c>
      <c r="U367" s="2">
        <f t="shared" si="5035"/>
        <v>347</v>
      </c>
      <c r="V367" s="2">
        <v>2</v>
      </c>
      <c r="W367" s="2">
        <f t="shared" ref="W367:Y367" si="5036">_xlfn.RANK.EQ(V367, V$7:V$375,0)</f>
        <v>357</v>
      </c>
      <c r="X367" s="4">
        <v>0.5</v>
      </c>
      <c r="Y367" s="2">
        <f t="shared" si="5036"/>
        <v>175</v>
      </c>
      <c r="Z367" s="2">
        <v>0</v>
      </c>
      <c r="AA367" s="2">
        <f t="shared" ref="AA367:AC367" si="5037">_xlfn.RANK.EQ(Z367, Z$7:Z$375,0)</f>
        <v>329</v>
      </c>
      <c r="AB367" s="2">
        <v>2</v>
      </c>
      <c r="AC367" s="2">
        <f t="shared" si="5037"/>
        <v>336</v>
      </c>
      <c r="AD367" s="4">
        <v>0</v>
      </c>
      <c r="AE367" s="2">
        <f t="shared" ref="AE367:AG367" si="5038">_xlfn.RANK.EQ(AD367, AD$7:AD$375,0)</f>
        <v>329</v>
      </c>
      <c r="AF367" s="2">
        <v>0</v>
      </c>
      <c r="AG367" s="2">
        <f t="shared" si="5038"/>
        <v>348</v>
      </c>
      <c r="AH367" s="2">
        <v>0</v>
      </c>
      <c r="AI367" s="2">
        <f t="shared" ref="AI367:AK367" si="5039">_xlfn.RANK.EQ(AH367, AH$7:AH$375,0)</f>
        <v>351</v>
      </c>
      <c r="AJ367" s="4">
        <v>0</v>
      </c>
      <c r="AK367" s="2">
        <f t="shared" si="5039"/>
        <v>348</v>
      </c>
      <c r="AL367" s="2">
        <v>1</v>
      </c>
      <c r="AM367" s="2">
        <f t="shared" ref="AM367:AO367" si="5040">_xlfn.RANK.EQ(AL367, AL$7:AL$375,0)</f>
        <v>341</v>
      </c>
      <c r="AN367" s="2">
        <v>4</v>
      </c>
      <c r="AO367" s="2">
        <f t="shared" si="5040"/>
        <v>336</v>
      </c>
      <c r="AP367" s="2">
        <v>5</v>
      </c>
      <c r="AQ367" s="2">
        <f t="shared" ref="AQ367:AS367" si="5041">_xlfn.RANK.EQ(AP367, AP$7:AP$375,0)</f>
        <v>343</v>
      </c>
      <c r="AR367" s="2">
        <v>2</v>
      </c>
      <c r="AS367" s="2">
        <f t="shared" si="5041"/>
        <v>343</v>
      </c>
      <c r="AT367" s="2">
        <v>0</v>
      </c>
      <c r="AU367" s="2">
        <f t="shared" ref="AU367:AW367" si="5042">_xlfn.RANK.EQ(AT367, AT$7:AT$375,0)</f>
        <v>360</v>
      </c>
      <c r="AV367" s="2">
        <v>1</v>
      </c>
      <c r="AW367" s="2">
        <f t="shared" si="5042"/>
        <v>335</v>
      </c>
      <c r="AX367" s="2">
        <v>0</v>
      </c>
      <c r="AY367" s="2">
        <f t="shared" ref="AY367:BA367" si="5043">_xlfn.RANK.EQ(AX367, AX$7:AX$375,0)</f>
        <v>298</v>
      </c>
      <c r="AZ367" s="2">
        <v>1</v>
      </c>
      <c r="BA367" s="2">
        <f t="shared" si="5043"/>
        <v>308</v>
      </c>
      <c r="BB367" s="2">
        <v>3</v>
      </c>
      <c r="BC367" s="2">
        <f t="shared" ref="BC367:BE367" si="5044">_xlfn.RANK.EQ(BB367, BB$7:BB$375,0)</f>
        <v>353</v>
      </c>
      <c r="BD367" s="2">
        <v>1</v>
      </c>
      <c r="BE367" s="2">
        <f t="shared" si="5044"/>
        <v>348</v>
      </c>
      <c r="BF367" s="2">
        <v>4</v>
      </c>
      <c r="BG367" s="2">
        <f t="shared" ref="BG367:BI367" si="5045">_xlfn.RANK.EQ(BF367, BF$7:BF$375,0)</f>
        <v>334</v>
      </c>
      <c r="BH367" s="2">
        <v>-11</v>
      </c>
      <c r="BI367" s="2">
        <f t="shared" si="5045"/>
        <v>173</v>
      </c>
    </row>
    <row r="368" spans="1:61" x14ac:dyDescent="0.55000000000000004">
      <c r="A368" s="2">
        <v>358</v>
      </c>
      <c r="B368" s="2" t="s">
        <v>418</v>
      </c>
      <c r="C368" s="2" t="s">
        <v>48</v>
      </c>
      <c r="D368" s="2">
        <v>6</v>
      </c>
      <c r="E368" s="2">
        <f t="shared" si="4485"/>
        <v>358</v>
      </c>
      <c r="F368" s="2">
        <v>0</v>
      </c>
      <c r="G368" s="2">
        <f t="shared" ref="G368:I368" si="5046">_xlfn.RANK.EQ(F368, F$7:F$375,0)</f>
        <v>291</v>
      </c>
      <c r="H368" s="5">
        <v>0.86736111111111114</v>
      </c>
      <c r="I368" s="2">
        <f t="shared" si="5046"/>
        <v>355</v>
      </c>
      <c r="J368" s="5">
        <v>0.14444444444444443</v>
      </c>
      <c r="K368" s="2">
        <f t="shared" ref="K368:M368" si="5047">_xlfn.RANK.EQ(J368, J$7:J$375,0)</f>
        <v>343</v>
      </c>
      <c r="L368" s="2">
        <v>2</v>
      </c>
      <c r="M368" s="2">
        <f t="shared" si="5047"/>
        <v>358</v>
      </c>
      <c r="N368" s="2">
        <v>1</v>
      </c>
      <c r="O368" s="2">
        <f t="shared" ref="O368:Q368" si="5048">_xlfn.RANK.EQ(N368, N$7:N$375,0)</f>
        <v>353</v>
      </c>
      <c r="P368" s="2">
        <v>7</v>
      </c>
      <c r="Q368" s="2">
        <f t="shared" si="5048"/>
        <v>352</v>
      </c>
      <c r="R368" s="4">
        <v>0.14299999999999999</v>
      </c>
      <c r="S368" s="2">
        <f t="shared" ref="S368:U368" si="5049">_xlfn.RANK.EQ(R368, R$7:R$375,0)</f>
        <v>359</v>
      </c>
      <c r="T368" s="2">
        <v>1</v>
      </c>
      <c r="U368" s="2">
        <f t="shared" si="5049"/>
        <v>347</v>
      </c>
      <c r="V368" s="2">
        <v>6</v>
      </c>
      <c r="W368" s="2">
        <f t="shared" ref="W368:Y368" si="5050">_xlfn.RANK.EQ(V368, V$7:V$375,0)</f>
        <v>338</v>
      </c>
      <c r="X368" s="4">
        <v>0.16700000000000001</v>
      </c>
      <c r="Y368" s="2">
        <f t="shared" si="5050"/>
        <v>356</v>
      </c>
      <c r="Z368" s="2">
        <v>0</v>
      </c>
      <c r="AA368" s="2">
        <f t="shared" ref="AA368:AC368" si="5051">_xlfn.RANK.EQ(Z368, Z$7:Z$375,0)</f>
        <v>329</v>
      </c>
      <c r="AB368" s="2">
        <v>1</v>
      </c>
      <c r="AC368" s="2">
        <f t="shared" si="5051"/>
        <v>342</v>
      </c>
      <c r="AD368" s="4">
        <v>0</v>
      </c>
      <c r="AE368" s="2">
        <f t="shared" ref="AE368:AG368" si="5052">_xlfn.RANK.EQ(AD368, AD$7:AD$375,0)</f>
        <v>329</v>
      </c>
      <c r="AF368" s="2">
        <v>0</v>
      </c>
      <c r="AG368" s="2">
        <f t="shared" si="5052"/>
        <v>348</v>
      </c>
      <c r="AH368" s="2">
        <v>0</v>
      </c>
      <c r="AI368" s="2">
        <f t="shared" ref="AI368:AK368" si="5053">_xlfn.RANK.EQ(AH368, AH$7:AH$375,0)</f>
        <v>351</v>
      </c>
      <c r="AJ368" s="4">
        <v>0</v>
      </c>
      <c r="AK368" s="2">
        <f t="shared" si="5053"/>
        <v>348</v>
      </c>
      <c r="AL368" s="2">
        <v>0</v>
      </c>
      <c r="AM368" s="2">
        <f t="shared" ref="AM368:AO368" si="5054">_xlfn.RANK.EQ(AL368, AL$7:AL$375,0)</f>
        <v>354</v>
      </c>
      <c r="AN368" s="2">
        <v>1</v>
      </c>
      <c r="AO368" s="2">
        <f t="shared" si="5054"/>
        <v>354</v>
      </c>
      <c r="AP368" s="2">
        <v>1</v>
      </c>
      <c r="AQ368" s="2">
        <f t="shared" ref="AQ368:AS368" si="5055">_xlfn.RANK.EQ(AP368, AP$7:AP$375,0)</f>
        <v>356</v>
      </c>
      <c r="AR368" s="2">
        <v>0</v>
      </c>
      <c r="AS368" s="2">
        <f t="shared" si="5055"/>
        <v>354</v>
      </c>
      <c r="AT368" s="2">
        <v>0</v>
      </c>
      <c r="AU368" s="2">
        <f t="shared" ref="AU368:AW368" si="5056">_xlfn.RANK.EQ(AT368, AT$7:AT$375,0)</f>
        <v>360</v>
      </c>
      <c r="AV368" s="2">
        <v>0</v>
      </c>
      <c r="AW368" s="2">
        <f t="shared" si="5056"/>
        <v>352</v>
      </c>
      <c r="AX368" s="2">
        <v>0</v>
      </c>
      <c r="AY368" s="2">
        <f t="shared" ref="AY368:BA368" si="5057">_xlfn.RANK.EQ(AX368, AX$7:AX$375,0)</f>
        <v>298</v>
      </c>
      <c r="AZ368" s="2">
        <v>1</v>
      </c>
      <c r="BA368" s="2">
        <f t="shared" si="5057"/>
        <v>308</v>
      </c>
      <c r="BB368" s="2">
        <v>2</v>
      </c>
      <c r="BC368" s="2">
        <f t="shared" ref="BC368:BE368" si="5058">_xlfn.RANK.EQ(BB368, BB$7:BB$375,0)</f>
        <v>355</v>
      </c>
      <c r="BD368" s="2">
        <v>0</v>
      </c>
      <c r="BE368" s="2">
        <f t="shared" si="5058"/>
        <v>357</v>
      </c>
      <c r="BF368" s="2">
        <v>-6</v>
      </c>
      <c r="BG368" s="2">
        <f t="shared" ref="BG368:BI368" si="5059">_xlfn.RANK.EQ(BF368, BF$7:BF$375,0)</f>
        <v>359</v>
      </c>
      <c r="BH368" s="2">
        <v>-22</v>
      </c>
      <c r="BI368" s="2">
        <f t="shared" si="5059"/>
        <v>197</v>
      </c>
    </row>
    <row r="369" spans="1:61" x14ac:dyDescent="0.55000000000000004">
      <c r="A369" s="2">
        <v>363</v>
      </c>
      <c r="B369" s="2" t="s">
        <v>419</v>
      </c>
      <c r="C369" s="2" t="s">
        <v>91</v>
      </c>
      <c r="D369" s="2">
        <v>2</v>
      </c>
      <c r="E369" s="2">
        <f t="shared" si="4485"/>
        <v>366</v>
      </c>
      <c r="F369" s="2">
        <v>0</v>
      </c>
      <c r="G369" s="2">
        <f t="shared" ref="G369:I369" si="5060">_xlfn.RANK.EQ(F369, F$7:F$375,0)</f>
        <v>291</v>
      </c>
      <c r="H369" s="5">
        <v>0.46319444444444446</v>
      </c>
      <c r="I369" s="2">
        <f t="shared" si="5060"/>
        <v>360</v>
      </c>
      <c r="J369" s="5">
        <v>0.23125000000000001</v>
      </c>
      <c r="K369" s="2">
        <f t="shared" ref="K369:M369" si="5061">_xlfn.RANK.EQ(J369, J$7:J$375,0)</f>
        <v>320</v>
      </c>
      <c r="L369" s="2">
        <v>0</v>
      </c>
      <c r="M369" s="2">
        <f t="shared" si="5061"/>
        <v>363</v>
      </c>
      <c r="N369" s="2">
        <v>0</v>
      </c>
      <c r="O369" s="2">
        <f t="shared" ref="O369:Q369" si="5062">_xlfn.RANK.EQ(N369, N$7:N$375,0)</f>
        <v>363</v>
      </c>
      <c r="P369" s="2">
        <v>0</v>
      </c>
      <c r="Q369" s="2">
        <f t="shared" si="5062"/>
        <v>369</v>
      </c>
      <c r="R369" s="4">
        <v>0</v>
      </c>
      <c r="S369" s="2">
        <f t="shared" ref="S369:U369" si="5063">_xlfn.RANK.EQ(R369, R$7:R$375,0)</f>
        <v>363</v>
      </c>
      <c r="T369" s="2">
        <v>0</v>
      </c>
      <c r="U369" s="2">
        <f t="shared" si="5063"/>
        <v>359</v>
      </c>
      <c r="V369" s="2">
        <v>0</v>
      </c>
      <c r="W369" s="2">
        <f t="shared" ref="W369:Y369" si="5064">_xlfn.RANK.EQ(V369, V$7:V$375,0)</f>
        <v>365</v>
      </c>
      <c r="X369" s="4">
        <v>0</v>
      </c>
      <c r="Y369" s="2">
        <f t="shared" si="5064"/>
        <v>359</v>
      </c>
      <c r="Z369" s="2">
        <v>0</v>
      </c>
      <c r="AA369" s="2">
        <f t="shared" ref="AA369:AC369" si="5065">_xlfn.RANK.EQ(Z369, Z$7:Z$375,0)</f>
        <v>329</v>
      </c>
      <c r="AB369" s="2">
        <v>0</v>
      </c>
      <c r="AC369" s="2">
        <f t="shared" si="5065"/>
        <v>360</v>
      </c>
      <c r="AD369" s="4">
        <v>0</v>
      </c>
      <c r="AE369" s="2">
        <f t="shared" ref="AE369:AG369" si="5066">_xlfn.RANK.EQ(AD369, AD$7:AD$375,0)</f>
        <v>329</v>
      </c>
      <c r="AF369" s="2">
        <v>0</v>
      </c>
      <c r="AG369" s="2">
        <f t="shared" si="5066"/>
        <v>348</v>
      </c>
      <c r="AH369" s="2">
        <v>0</v>
      </c>
      <c r="AI369" s="2">
        <f t="shared" ref="AI369:AK369" si="5067">_xlfn.RANK.EQ(AH369, AH$7:AH$375,0)</f>
        <v>351</v>
      </c>
      <c r="AJ369" s="4">
        <v>0</v>
      </c>
      <c r="AK369" s="2">
        <f t="shared" si="5067"/>
        <v>348</v>
      </c>
      <c r="AL369" s="2">
        <v>0</v>
      </c>
      <c r="AM369" s="2">
        <f t="shared" ref="AM369:AO369" si="5068">_xlfn.RANK.EQ(AL369, AL$7:AL$375,0)</f>
        <v>354</v>
      </c>
      <c r="AN369" s="2">
        <v>1</v>
      </c>
      <c r="AO369" s="2">
        <f t="shared" si="5068"/>
        <v>354</v>
      </c>
      <c r="AP369" s="2">
        <v>1</v>
      </c>
      <c r="AQ369" s="2">
        <f t="shared" ref="AQ369:AS369" si="5069">_xlfn.RANK.EQ(AP369, AP$7:AP$375,0)</f>
        <v>356</v>
      </c>
      <c r="AR369" s="2">
        <v>1</v>
      </c>
      <c r="AS369" s="2">
        <f t="shared" si="5069"/>
        <v>350</v>
      </c>
      <c r="AT369" s="2">
        <v>4</v>
      </c>
      <c r="AU369" s="2">
        <f t="shared" ref="AU369:AW369" si="5070">_xlfn.RANK.EQ(AT369, AT$7:AT$375,0)</f>
        <v>333</v>
      </c>
      <c r="AV369" s="2">
        <v>0</v>
      </c>
      <c r="AW369" s="2">
        <f t="shared" si="5070"/>
        <v>352</v>
      </c>
      <c r="AX369" s="2">
        <v>0</v>
      </c>
      <c r="AY369" s="2">
        <f t="shared" ref="AY369:BA369" si="5071">_xlfn.RANK.EQ(AX369, AX$7:AX$375,0)</f>
        <v>298</v>
      </c>
      <c r="AZ369" s="2">
        <v>0</v>
      </c>
      <c r="BA369" s="2">
        <f t="shared" si="5071"/>
        <v>337</v>
      </c>
      <c r="BB369" s="2">
        <v>4</v>
      </c>
      <c r="BC369" s="2">
        <f t="shared" ref="BC369:BE369" si="5072">_xlfn.RANK.EQ(BB369, BB$7:BB$375,0)</f>
        <v>351</v>
      </c>
      <c r="BD369" s="2">
        <v>0</v>
      </c>
      <c r="BE369" s="2">
        <f t="shared" si="5072"/>
        <v>357</v>
      </c>
      <c r="BF369" s="2">
        <v>-6</v>
      </c>
      <c r="BG369" s="2">
        <f t="shared" ref="BG369:BI369" si="5073">_xlfn.RANK.EQ(BF369, BF$7:BF$375,0)</f>
        <v>359</v>
      </c>
      <c r="BH369" s="2">
        <v>-6</v>
      </c>
      <c r="BI369" s="2">
        <f t="shared" si="5073"/>
        <v>158</v>
      </c>
    </row>
    <row r="370" spans="1:61" x14ac:dyDescent="0.55000000000000004">
      <c r="A370" s="2">
        <v>363</v>
      </c>
      <c r="B370" s="2" t="s">
        <v>420</v>
      </c>
      <c r="C370" s="2" t="s">
        <v>34</v>
      </c>
      <c r="D370" s="2">
        <v>1</v>
      </c>
      <c r="E370" s="2">
        <f t="shared" si="4485"/>
        <v>367</v>
      </c>
      <c r="F370" s="2">
        <v>0</v>
      </c>
      <c r="G370" s="2">
        <f t="shared" ref="G370:I370" si="5074">_xlfn.RANK.EQ(F370, F$7:F$375,0)</f>
        <v>291</v>
      </c>
      <c r="H370" s="5">
        <v>0.37083333333333335</v>
      </c>
      <c r="I370" s="2">
        <f t="shared" si="5074"/>
        <v>361</v>
      </c>
      <c r="J370" s="5">
        <v>0.37083333333333335</v>
      </c>
      <c r="K370" s="2">
        <f t="shared" ref="K370:M370" si="5075">_xlfn.RANK.EQ(J370, J$7:J$375,0)</f>
        <v>288</v>
      </c>
      <c r="L370" s="2">
        <v>0</v>
      </c>
      <c r="M370" s="2">
        <f t="shared" si="5075"/>
        <v>363</v>
      </c>
      <c r="N370" s="2">
        <v>0</v>
      </c>
      <c r="O370" s="2">
        <f t="shared" ref="O370:Q370" si="5076">_xlfn.RANK.EQ(N370, N$7:N$375,0)</f>
        <v>363</v>
      </c>
      <c r="P370" s="2">
        <v>2</v>
      </c>
      <c r="Q370" s="2">
        <f t="shared" si="5076"/>
        <v>366</v>
      </c>
      <c r="R370" s="4">
        <v>0</v>
      </c>
      <c r="S370" s="2">
        <f t="shared" ref="S370:U370" si="5077">_xlfn.RANK.EQ(R370, R$7:R$375,0)</f>
        <v>363</v>
      </c>
      <c r="T370" s="2">
        <v>0</v>
      </c>
      <c r="U370" s="2">
        <f t="shared" si="5077"/>
        <v>359</v>
      </c>
      <c r="V370" s="2">
        <v>0</v>
      </c>
      <c r="W370" s="2">
        <f t="shared" ref="W370:Y370" si="5078">_xlfn.RANK.EQ(V370, V$7:V$375,0)</f>
        <v>365</v>
      </c>
      <c r="X370" s="4">
        <v>0</v>
      </c>
      <c r="Y370" s="2">
        <f t="shared" si="5078"/>
        <v>359</v>
      </c>
      <c r="Z370" s="2">
        <v>0</v>
      </c>
      <c r="AA370" s="2">
        <f t="shared" ref="AA370:AC370" si="5079">_xlfn.RANK.EQ(Z370, Z$7:Z$375,0)</f>
        <v>329</v>
      </c>
      <c r="AB370" s="2">
        <v>2</v>
      </c>
      <c r="AC370" s="2">
        <f t="shared" si="5079"/>
        <v>336</v>
      </c>
      <c r="AD370" s="4">
        <v>0</v>
      </c>
      <c r="AE370" s="2">
        <f t="shared" ref="AE370:AG370" si="5080">_xlfn.RANK.EQ(AD370, AD$7:AD$375,0)</f>
        <v>329</v>
      </c>
      <c r="AF370" s="2">
        <v>0</v>
      </c>
      <c r="AG370" s="2">
        <f t="shared" si="5080"/>
        <v>348</v>
      </c>
      <c r="AH370" s="2">
        <v>0</v>
      </c>
      <c r="AI370" s="2">
        <f t="shared" ref="AI370:AK370" si="5081">_xlfn.RANK.EQ(AH370, AH$7:AH$375,0)</f>
        <v>351</v>
      </c>
      <c r="AJ370" s="4">
        <v>0</v>
      </c>
      <c r="AK370" s="2">
        <f t="shared" si="5081"/>
        <v>348</v>
      </c>
      <c r="AL370" s="2">
        <v>0</v>
      </c>
      <c r="AM370" s="2">
        <f t="shared" ref="AM370:AO370" si="5082">_xlfn.RANK.EQ(AL370, AL$7:AL$375,0)</f>
        <v>354</v>
      </c>
      <c r="AN370" s="2">
        <v>1</v>
      </c>
      <c r="AO370" s="2">
        <f t="shared" si="5082"/>
        <v>354</v>
      </c>
      <c r="AP370" s="2">
        <v>1</v>
      </c>
      <c r="AQ370" s="2">
        <f t="shared" ref="AQ370:AS370" si="5083">_xlfn.RANK.EQ(AP370, AP$7:AP$375,0)</f>
        <v>356</v>
      </c>
      <c r="AR370" s="2">
        <v>0</v>
      </c>
      <c r="AS370" s="2">
        <f t="shared" si="5083"/>
        <v>354</v>
      </c>
      <c r="AT370" s="2">
        <v>0</v>
      </c>
      <c r="AU370" s="2">
        <f t="shared" ref="AU370:AW370" si="5084">_xlfn.RANK.EQ(AT370, AT$7:AT$375,0)</f>
        <v>360</v>
      </c>
      <c r="AV370" s="2">
        <v>0</v>
      </c>
      <c r="AW370" s="2">
        <f t="shared" si="5084"/>
        <v>352</v>
      </c>
      <c r="AX370" s="2">
        <v>0</v>
      </c>
      <c r="AY370" s="2">
        <f t="shared" ref="AY370:BA370" si="5085">_xlfn.RANK.EQ(AX370, AX$7:AX$375,0)</f>
        <v>298</v>
      </c>
      <c r="AZ370" s="2">
        <v>0</v>
      </c>
      <c r="BA370" s="2">
        <f t="shared" si="5085"/>
        <v>337</v>
      </c>
      <c r="BB370" s="2">
        <v>0</v>
      </c>
      <c r="BC370" s="2">
        <f t="shared" ref="BC370:BE370" si="5086">_xlfn.RANK.EQ(BB370, BB$7:BB$375,0)</f>
        <v>365</v>
      </c>
      <c r="BD370" s="2">
        <v>0</v>
      </c>
      <c r="BE370" s="2">
        <f t="shared" si="5086"/>
        <v>357</v>
      </c>
      <c r="BF370" s="2">
        <v>-1</v>
      </c>
      <c r="BG370" s="2">
        <f t="shared" ref="BG370:BI370" si="5087">_xlfn.RANK.EQ(BF370, BF$7:BF$375,0)</f>
        <v>344</v>
      </c>
      <c r="BH370" s="2">
        <v>-8</v>
      </c>
      <c r="BI370" s="2">
        <f t="shared" si="5087"/>
        <v>163</v>
      </c>
    </row>
    <row r="371" spans="1:61" x14ac:dyDescent="0.55000000000000004">
      <c r="A371" s="2">
        <v>363</v>
      </c>
      <c r="B371" s="2" t="s">
        <v>421</v>
      </c>
      <c r="C371" s="2" t="s">
        <v>36</v>
      </c>
      <c r="D371" s="2">
        <v>3</v>
      </c>
      <c r="E371" s="2">
        <f t="shared" si="4485"/>
        <v>365</v>
      </c>
      <c r="F371" s="2">
        <v>0</v>
      </c>
      <c r="G371" s="2">
        <f t="shared" ref="G371:I371" si="5088">_xlfn.RANK.EQ(F371, F$7:F$375,0)</f>
        <v>291</v>
      </c>
      <c r="H371" s="5">
        <v>0.22777777777777777</v>
      </c>
      <c r="I371" s="2">
        <f t="shared" si="5088"/>
        <v>365</v>
      </c>
      <c r="J371" s="5">
        <v>7.5694444444444439E-2</v>
      </c>
      <c r="K371" s="2">
        <f t="shared" ref="K371:M371" si="5089">_xlfn.RANK.EQ(J371, J$7:J$375,0)</f>
        <v>363</v>
      </c>
      <c r="L371" s="2">
        <v>0</v>
      </c>
      <c r="M371" s="2">
        <f t="shared" si="5089"/>
        <v>363</v>
      </c>
      <c r="N371" s="2">
        <v>0</v>
      </c>
      <c r="O371" s="2">
        <f t="shared" ref="O371:Q371" si="5090">_xlfn.RANK.EQ(N371, N$7:N$375,0)</f>
        <v>363</v>
      </c>
      <c r="P371" s="2">
        <v>3</v>
      </c>
      <c r="Q371" s="2">
        <f t="shared" si="5090"/>
        <v>362</v>
      </c>
      <c r="R371" s="4">
        <v>0</v>
      </c>
      <c r="S371" s="2">
        <f t="shared" ref="S371:U371" si="5091">_xlfn.RANK.EQ(R371, R$7:R$375,0)</f>
        <v>363</v>
      </c>
      <c r="T371" s="2">
        <v>0</v>
      </c>
      <c r="U371" s="2">
        <f t="shared" si="5091"/>
        <v>359</v>
      </c>
      <c r="V371" s="2">
        <v>2</v>
      </c>
      <c r="W371" s="2">
        <f t="shared" ref="W371:Y371" si="5092">_xlfn.RANK.EQ(V371, V$7:V$375,0)</f>
        <v>357</v>
      </c>
      <c r="X371" s="4">
        <v>0</v>
      </c>
      <c r="Y371" s="2">
        <f t="shared" si="5092"/>
        <v>359</v>
      </c>
      <c r="Z371" s="2">
        <v>0</v>
      </c>
      <c r="AA371" s="2">
        <f t="shared" ref="AA371:AC371" si="5093">_xlfn.RANK.EQ(Z371, Z$7:Z$375,0)</f>
        <v>329</v>
      </c>
      <c r="AB371" s="2">
        <v>1</v>
      </c>
      <c r="AC371" s="2">
        <f t="shared" si="5093"/>
        <v>342</v>
      </c>
      <c r="AD371" s="4">
        <v>0</v>
      </c>
      <c r="AE371" s="2">
        <f t="shared" ref="AE371:AG371" si="5094">_xlfn.RANK.EQ(AD371, AD$7:AD$375,0)</f>
        <v>329</v>
      </c>
      <c r="AF371" s="2">
        <v>0</v>
      </c>
      <c r="AG371" s="2">
        <f t="shared" si="5094"/>
        <v>348</v>
      </c>
      <c r="AH371" s="2">
        <v>0</v>
      </c>
      <c r="AI371" s="2">
        <f t="shared" ref="AI371:AK371" si="5095">_xlfn.RANK.EQ(AH371, AH$7:AH$375,0)</f>
        <v>351</v>
      </c>
      <c r="AJ371" s="4">
        <v>0</v>
      </c>
      <c r="AK371" s="2">
        <f t="shared" si="5095"/>
        <v>348</v>
      </c>
      <c r="AL371" s="2">
        <v>0</v>
      </c>
      <c r="AM371" s="2">
        <f t="shared" ref="AM371:AO371" si="5096">_xlfn.RANK.EQ(AL371, AL$7:AL$375,0)</f>
        <v>354</v>
      </c>
      <c r="AN371" s="2">
        <v>0</v>
      </c>
      <c r="AO371" s="2">
        <f t="shared" si="5096"/>
        <v>363</v>
      </c>
      <c r="AP371" s="2">
        <v>0</v>
      </c>
      <c r="AQ371" s="2">
        <f t="shared" ref="AQ371:AS371" si="5097">_xlfn.RANK.EQ(AP371, AP$7:AP$375,0)</f>
        <v>366</v>
      </c>
      <c r="AR371" s="2">
        <v>0</v>
      </c>
      <c r="AS371" s="2">
        <f t="shared" si="5097"/>
        <v>354</v>
      </c>
      <c r="AT371" s="2">
        <v>0</v>
      </c>
      <c r="AU371" s="2">
        <f t="shared" ref="AU371:AW371" si="5098">_xlfn.RANK.EQ(AT371, AT$7:AT$375,0)</f>
        <v>360</v>
      </c>
      <c r="AV371" s="2">
        <v>0</v>
      </c>
      <c r="AW371" s="2">
        <f t="shared" si="5098"/>
        <v>352</v>
      </c>
      <c r="AX371" s="2">
        <v>0</v>
      </c>
      <c r="AY371" s="2">
        <f t="shared" ref="AY371:BA371" si="5099">_xlfn.RANK.EQ(AX371, AX$7:AX$375,0)</f>
        <v>298</v>
      </c>
      <c r="AZ371" s="2">
        <v>0</v>
      </c>
      <c r="BA371" s="2">
        <f t="shared" si="5099"/>
        <v>337</v>
      </c>
      <c r="BB371" s="2">
        <v>2</v>
      </c>
      <c r="BC371" s="2">
        <f t="shared" ref="BC371:BE371" si="5100">_xlfn.RANK.EQ(BB371, BB$7:BB$375,0)</f>
        <v>355</v>
      </c>
      <c r="BD371" s="2">
        <v>0</v>
      </c>
      <c r="BE371" s="2">
        <f t="shared" si="5100"/>
        <v>357</v>
      </c>
      <c r="BF371" s="2">
        <v>-5</v>
      </c>
      <c r="BG371" s="2">
        <f t="shared" ref="BG371:BI371" si="5101">_xlfn.RANK.EQ(BF371, BF$7:BF$375,0)</f>
        <v>356</v>
      </c>
      <c r="BH371" s="2">
        <v>-8</v>
      </c>
      <c r="BI371" s="2">
        <f t="shared" si="5101"/>
        <v>163</v>
      </c>
    </row>
    <row r="372" spans="1:61" x14ac:dyDescent="0.55000000000000004">
      <c r="A372" s="2">
        <v>363</v>
      </c>
      <c r="B372" s="2" t="s">
        <v>422</v>
      </c>
      <c r="C372" s="2" t="s">
        <v>72</v>
      </c>
      <c r="D372" s="2">
        <v>5</v>
      </c>
      <c r="E372" s="2">
        <f t="shared" si="4485"/>
        <v>360</v>
      </c>
      <c r="F372" s="2">
        <v>0</v>
      </c>
      <c r="G372" s="2">
        <f t="shared" ref="G372:I372" si="5102">_xlfn.RANK.EQ(F372, F$7:F$375,0)</f>
        <v>291</v>
      </c>
      <c r="H372" s="5">
        <v>0.46736111111111112</v>
      </c>
      <c r="I372" s="2">
        <f t="shared" si="5102"/>
        <v>359</v>
      </c>
      <c r="J372" s="5">
        <v>9.3055555555555558E-2</v>
      </c>
      <c r="K372" s="2">
        <f t="shared" ref="K372:M372" si="5103">_xlfn.RANK.EQ(J372, J$7:J$375,0)</f>
        <v>357</v>
      </c>
      <c r="L372" s="2">
        <v>0</v>
      </c>
      <c r="M372" s="2">
        <f t="shared" si="5103"/>
        <v>363</v>
      </c>
      <c r="N372" s="2">
        <v>0</v>
      </c>
      <c r="O372" s="2">
        <f t="shared" ref="O372:Q372" si="5104">_xlfn.RANK.EQ(N372, N$7:N$375,0)</f>
        <v>363</v>
      </c>
      <c r="P372" s="2">
        <v>3</v>
      </c>
      <c r="Q372" s="2">
        <f t="shared" si="5104"/>
        <v>362</v>
      </c>
      <c r="R372" s="4">
        <v>0</v>
      </c>
      <c r="S372" s="2">
        <f t="shared" ref="S372:U372" si="5105">_xlfn.RANK.EQ(R372, R$7:R$375,0)</f>
        <v>363</v>
      </c>
      <c r="T372" s="2">
        <v>0</v>
      </c>
      <c r="U372" s="2">
        <f t="shared" si="5105"/>
        <v>359</v>
      </c>
      <c r="V372" s="2">
        <v>0</v>
      </c>
      <c r="W372" s="2">
        <f t="shared" ref="W372:Y372" si="5106">_xlfn.RANK.EQ(V372, V$7:V$375,0)</f>
        <v>365</v>
      </c>
      <c r="X372" s="4">
        <v>0</v>
      </c>
      <c r="Y372" s="2">
        <f t="shared" si="5106"/>
        <v>359</v>
      </c>
      <c r="Z372" s="2">
        <v>0</v>
      </c>
      <c r="AA372" s="2">
        <f t="shared" ref="AA372:AC372" si="5107">_xlfn.RANK.EQ(Z372, Z$7:Z$375,0)</f>
        <v>329</v>
      </c>
      <c r="AB372" s="2">
        <v>3</v>
      </c>
      <c r="AC372" s="2">
        <f t="shared" si="5107"/>
        <v>328</v>
      </c>
      <c r="AD372" s="4">
        <v>0</v>
      </c>
      <c r="AE372" s="2">
        <f t="shared" ref="AE372:AG372" si="5108">_xlfn.RANK.EQ(AD372, AD$7:AD$375,0)</f>
        <v>329</v>
      </c>
      <c r="AF372" s="2">
        <v>0</v>
      </c>
      <c r="AG372" s="2">
        <f t="shared" si="5108"/>
        <v>348</v>
      </c>
      <c r="AH372" s="2">
        <v>0</v>
      </c>
      <c r="AI372" s="2">
        <f t="shared" ref="AI372:AK372" si="5109">_xlfn.RANK.EQ(AH372, AH$7:AH$375,0)</f>
        <v>351</v>
      </c>
      <c r="AJ372" s="4">
        <v>0</v>
      </c>
      <c r="AK372" s="2">
        <f t="shared" si="5109"/>
        <v>348</v>
      </c>
      <c r="AL372" s="2">
        <v>0</v>
      </c>
      <c r="AM372" s="2">
        <f t="shared" ref="AM372:AO372" si="5110">_xlfn.RANK.EQ(AL372, AL$7:AL$375,0)</f>
        <v>354</v>
      </c>
      <c r="AN372" s="2">
        <v>0</v>
      </c>
      <c r="AO372" s="2">
        <f t="shared" si="5110"/>
        <v>363</v>
      </c>
      <c r="AP372" s="2">
        <v>0</v>
      </c>
      <c r="AQ372" s="2">
        <f t="shared" ref="AQ372:AS372" si="5111">_xlfn.RANK.EQ(AP372, AP$7:AP$375,0)</f>
        <v>366</v>
      </c>
      <c r="AR372" s="2">
        <v>2</v>
      </c>
      <c r="AS372" s="2">
        <f t="shared" si="5111"/>
        <v>343</v>
      </c>
      <c r="AT372" s="2">
        <v>1</v>
      </c>
      <c r="AU372" s="2">
        <f t="shared" ref="AU372:AW372" si="5112">_xlfn.RANK.EQ(AT372, AT$7:AT$375,0)</f>
        <v>350</v>
      </c>
      <c r="AV372" s="2">
        <v>0</v>
      </c>
      <c r="AW372" s="2">
        <f t="shared" si="5112"/>
        <v>352</v>
      </c>
      <c r="AX372" s="2">
        <v>0</v>
      </c>
      <c r="AY372" s="2">
        <f t="shared" ref="AY372:BA372" si="5113">_xlfn.RANK.EQ(AX372, AX$7:AX$375,0)</f>
        <v>298</v>
      </c>
      <c r="AZ372" s="2">
        <v>0</v>
      </c>
      <c r="BA372" s="2">
        <f t="shared" si="5113"/>
        <v>337</v>
      </c>
      <c r="BB372" s="2">
        <v>0</v>
      </c>
      <c r="BC372" s="2">
        <f t="shared" ref="BC372:BE372" si="5114">_xlfn.RANK.EQ(BB372, BB$7:BB$375,0)</f>
        <v>365</v>
      </c>
      <c r="BD372" s="2">
        <v>0</v>
      </c>
      <c r="BE372" s="2">
        <f t="shared" si="5114"/>
        <v>357</v>
      </c>
      <c r="BF372" s="2">
        <v>-2</v>
      </c>
      <c r="BG372" s="2">
        <f t="shared" ref="BG372:BI372" si="5115">_xlfn.RANK.EQ(BF372, BF$7:BF$375,0)</f>
        <v>348</v>
      </c>
      <c r="BH372" s="2">
        <v>-1</v>
      </c>
      <c r="BI372" s="2">
        <f t="shared" si="5115"/>
        <v>150</v>
      </c>
    </row>
    <row r="373" spans="1:61" x14ac:dyDescent="0.55000000000000004">
      <c r="A373" s="2">
        <v>363</v>
      </c>
      <c r="B373" s="2" t="s">
        <v>423</v>
      </c>
      <c r="C373" s="2" t="s">
        <v>54</v>
      </c>
      <c r="D373" s="2">
        <v>7</v>
      </c>
      <c r="E373" s="2">
        <f t="shared" si="4485"/>
        <v>355</v>
      </c>
      <c r="F373" s="2">
        <v>0</v>
      </c>
      <c r="G373" s="2">
        <f t="shared" ref="G373:I373" si="5116">_xlfn.RANK.EQ(F373, F$7:F$375,0)</f>
        <v>291</v>
      </c>
      <c r="H373" s="5">
        <v>0.5625</v>
      </c>
      <c r="I373" s="2">
        <f t="shared" si="5116"/>
        <v>358</v>
      </c>
      <c r="J373" s="5">
        <v>7.9861111111111105E-2</v>
      </c>
      <c r="K373" s="2">
        <f t="shared" ref="K373:M373" si="5117">_xlfn.RANK.EQ(J373, J$7:J$375,0)</f>
        <v>360</v>
      </c>
      <c r="L373" s="2">
        <v>0</v>
      </c>
      <c r="M373" s="2">
        <f t="shared" si="5117"/>
        <v>363</v>
      </c>
      <c r="N373" s="2">
        <v>0</v>
      </c>
      <c r="O373" s="2">
        <f t="shared" ref="O373:Q373" si="5118">_xlfn.RANK.EQ(N373, N$7:N$375,0)</f>
        <v>363</v>
      </c>
      <c r="P373" s="2">
        <v>6</v>
      </c>
      <c r="Q373" s="2">
        <f t="shared" si="5118"/>
        <v>353</v>
      </c>
      <c r="R373" s="4">
        <v>0</v>
      </c>
      <c r="S373" s="2">
        <f t="shared" ref="S373:U373" si="5119">_xlfn.RANK.EQ(R373, R$7:R$375,0)</f>
        <v>363</v>
      </c>
      <c r="T373" s="2">
        <v>0</v>
      </c>
      <c r="U373" s="2">
        <f t="shared" si="5119"/>
        <v>359</v>
      </c>
      <c r="V373" s="2">
        <v>1</v>
      </c>
      <c r="W373" s="2">
        <f t="shared" ref="W373:Y373" si="5120">_xlfn.RANK.EQ(V373, V$7:V$375,0)</f>
        <v>361</v>
      </c>
      <c r="X373" s="4">
        <v>0</v>
      </c>
      <c r="Y373" s="2">
        <f t="shared" si="5120"/>
        <v>359</v>
      </c>
      <c r="Z373" s="2">
        <v>0</v>
      </c>
      <c r="AA373" s="2">
        <f t="shared" ref="AA373:AC373" si="5121">_xlfn.RANK.EQ(Z373, Z$7:Z$375,0)</f>
        <v>329</v>
      </c>
      <c r="AB373" s="2">
        <v>5</v>
      </c>
      <c r="AC373" s="2">
        <f t="shared" si="5121"/>
        <v>320</v>
      </c>
      <c r="AD373" s="4">
        <v>0</v>
      </c>
      <c r="AE373" s="2">
        <f t="shared" ref="AE373:AG373" si="5122">_xlfn.RANK.EQ(AD373, AD$7:AD$375,0)</f>
        <v>329</v>
      </c>
      <c r="AF373" s="2">
        <v>0</v>
      </c>
      <c r="AG373" s="2">
        <f t="shared" si="5122"/>
        <v>348</v>
      </c>
      <c r="AH373" s="2">
        <v>0</v>
      </c>
      <c r="AI373" s="2">
        <f t="shared" ref="AI373:AK373" si="5123">_xlfn.RANK.EQ(AH373, AH$7:AH$375,0)</f>
        <v>351</v>
      </c>
      <c r="AJ373" s="4">
        <v>0</v>
      </c>
      <c r="AK373" s="2">
        <f t="shared" si="5123"/>
        <v>348</v>
      </c>
      <c r="AL373" s="2">
        <v>1</v>
      </c>
      <c r="AM373" s="2">
        <f t="shared" ref="AM373:AO373" si="5124">_xlfn.RANK.EQ(AL373, AL$7:AL$375,0)</f>
        <v>341</v>
      </c>
      <c r="AN373" s="2">
        <v>4</v>
      </c>
      <c r="AO373" s="2">
        <f t="shared" si="5124"/>
        <v>336</v>
      </c>
      <c r="AP373" s="2">
        <v>5</v>
      </c>
      <c r="AQ373" s="2">
        <f t="shared" ref="AQ373:AS373" si="5125">_xlfn.RANK.EQ(AP373, AP$7:AP$375,0)</f>
        <v>343</v>
      </c>
      <c r="AR373" s="2">
        <v>0</v>
      </c>
      <c r="AS373" s="2">
        <f t="shared" si="5125"/>
        <v>354</v>
      </c>
      <c r="AT373" s="2">
        <v>3</v>
      </c>
      <c r="AU373" s="2">
        <f t="shared" ref="AU373:AW373" si="5126">_xlfn.RANK.EQ(AT373, AT$7:AT$375,0)</f>
        <v>339</v>
      </c>
      <c r="AV373" s="2">
        <v>0</v>
      </c>
      <c r="AW373" s="2">
        <f t="shared" si="5126"/>
        <v>352</v>
      </c>
      <c r="AX373" s="2">
        <v>0</v>
      </c>
      <c r="AY373" s="2">
        <f t="shared" ref="AY373:BA373" si="5127">_xlfn.RANK.EQ(AX373, AX$7:AX$375,0)</f>
        <v>298</v>
      </c>
      <c r="AZ373" s="2">
        <v>1</v>
      </c>
      <c r="BA373" s="2">
        <f t="shared" si="5127"/>
        <v>308</v>
      </c>
      <c r="BB373" s="2">
        <v>2</v>
      </c>
      <c r="BC373" s="2">
        <f t="shared" ref="BC373:BE373" si="5128">_xlfn.RANK.EQ(BB373, BB$7:BB$375,0)</f>
        <v>355</v>
      </c>
      <c r="BD373" s="2">
        <v>0</v>
      </c>
      <c r="BE373" s="2">
        <f t="shared" si="5128"/>
        <v>357</v>
      </c>
      <c r="BF373" s="2">
        <v>-7</v>
      </c>
      <c r="BG373" s="2">
        <f t="shared" ref="BG373:BI373" si="5129">_xlfn.RANK.EQ(BF373, BF$7:BF$375,0)</f>
        <v>363</v>
      </c>
      <c r="BH373" s="2">
        <v>-8</v>
      </c>
      <c r="BI373" s="2">
        <f t="shared" si="5129"/>
        <v>163</v>
      </c>
    </row>
    <row r="374" spans="1:61" x14ac:dyDescent="0.55000000000000004">
      <c r="A374" s="2">
        <v>363</v>
      </c>
      <c r="B374" s="2" t="s">
        <v>424</v>
      </c>
      <c r="C374" s="2" t="s">
        <v>89</v>
      </c>
      <c r="D374" s="2">
        <v>7</v>
      </c>
      <c r="E374" s="2">
        <f t="shared" si="4485"/>
        <v>355</v>
      </c>
      <c r="F374" s="2">
        <v>0</v>
      </c>
      <c r="G374" s="2">
        <f t="shared" ref="G374:I374" si="5130">_xlfn.RANK.EQ(F374, F$7:F$375,0)</f>
        <v>291</v>
      </c>
      <c r="H374" s="5">
        <v>0.33819444444444446</v>
      </c>
      <c r="I374" s="2">
        <f t="shared" si="5130"/>
        <v>362</v>
      </c>
      <c r="J374" s="5">
        <v>4.791666666666667E-2</v>
      </c>
      <c r="K374" s="2">
        <f t="shared" ref="K374:M374" si="5131">_xlfn.RANK.EQ(J374, J$7:J$375,0)</f>
        <v>366</v>
      </c>
      <c r="L374" s="2">
        <v>0</v>
      </c>
      <c r="M374" s="2">
        <f t="shared" si="5131"/>
        <v>363</v>
      </c>
      <c r="N374" s="2">
        <v>0</v>
      </c>
      <c r="O374" s="2">
        <f t="shared" ref="O374:Q374" si="5132">_xlfn.RANK.EQ(N374, N$7:N$375,0)</f>
        <v>363</v>
      </c>
      <c r="P374" s="2">
        <v>3</v>
      </c>
      <c r="Q374" s="2">
        <f t="shared" si="5132"/>
        <v>362</v>
      </c>
      <c r="R374" s="4">
        <v>0</v>
      </c>
      <c r="S374" s="2">
        <f t="shared" ref="S374:U374" si="5133">_xlfn.RANK.EQ(R374, R$7:R$375,0)</f>
        <v>363</v>
      </c>
      <c r="T374" s="2">
        <v>0</v>
      </c>
      <c r="U374" s="2">
        <f t="shared" si="5133"/>
        <v>359</v>
      </c>
      <c r="V374" s="2">
        <v>2</v>
      </c>
      <c r="W374" s="2">
        <f t="shared" ref="W374:Y374" si="5134">_xlfn.RANK.EQ(V374, V$7:V$375,0)</f>
        <v>357</v>
      </c>
      <c r="X374" s="4">
        <v>0</v>
      </c>
      <c r="Y374" s="2">
        <f t="shared" si="5134"/>
        <v>359</v>
      </c>
      <c r="Z374" s="2">
        <v>0</v>
      </c>
      <c r="AA374" s="2">
        <f t="shared" ref="AA374:AC374" si="5135">_xlfn.RANK.EQ(Z374, Z$7:Z$375,0)</f>
        <v>329</v>
      </c>
      <c r="AB374" s="2">
        <v>1</v>
      </c>
      <c r="AC374" s="2">
        <f t="shared" si="5135"/>
        <v>342</v>
      </c>
      <c r="AD374" s="4">
        <v>0</v>
      </c>
      <c r="AE374" s="2">
        <f t="shared" ref="AE374:AG374" si="5136">_xlfn.RANK.EQ(AD374, AD$7:AD$375,0)</f>
        <v>329</v>
      </c>
      <c r="AF374" s="2">
        <v>0</v>
      </c>
      <c r="AG374" s="2">
        <f t="shared" si="5136"/>
        <v>348</v>
      </c>
      <c r="AH374" s="2">
        <v>0</v>
      </c>
      <c r="AI374" s="2">
        <f t="shared" ref="AI374:AK374" si="5137">_xlfn.RANK.EQ(AH374, AH$7:AH$375,0)</f>
        <v>351</v>
      </c>
      <c r="AJ374" s="4">
        <v>0</v>
      </c>
      <c r="AK374" s="2">
        <f t="shared" si="5137"/>
        <v>348</v>
      </c>
      <c r="AL374" s="2">
        <v>0</v>
      </c>
      <c r="AM374" s="2">
        <f t="shared" ref="AM374:AO374" si="5138">_xlfn.RANK.EQ(AL374, AL$7:AL$375,0)</f>
        <v>354</v>
      </c>
      <c r="AN374" s="2">
        <v>1</v>
      </c>
      <c r="AO374" s="2">
        <f t="shared" si="5138"/>
        <v>354</v>
      </c>
      <c r="AP374" s="2">
        <v>1</v>
      </c>
      <c r="AQ374" s="2">
        <f t="shared" ref="AQ374:AS374" si="5139">_xlfn.RANK.EQ(AP374, AP$7:AP$375,0)</f>
        <v>356</v>
      </c>
      <c r="AR374" s="2">
        <v>0</v>
      </c>
      <c r="AS374" s="2">
        <f t="shared" si="5139"/>
        <v>354</v>
      </c>
      <c r="AT374" s="2">
        <v>1</v>
      </c>
      <c r="AU374" s="2">
        <f t="shared" ref="AU374:AW374" si="5140">_xlfn.RANK.EQ(AT374, AT$7:AT$375,0)</f>
        <v>350</v>
      </c>
      <c r="AV374" s="2">
        <v>0</v>
      </c>
      <c r="AW374" s="2">
        <f t="shared" si="5140"/>
        <v>352</v>
      </c>
      <c r="AX374" s="2">
        <v>0</v>
      </c>
      <c r="AY374" s="2">
        <f t="shared" ref="AY374:BA374" si="5141">_xlfn.RANK.EQ(AX374, AX$7:AX$375,0)</f>
        <v>298</v>
      </c>
      <c r="AZ374" s="2">
        <v>0</v>
      </c>
      <c r="BA374" s="2">
        <f t="shared" si="5141"/>
        <v>337</v>
      </c>
      <c r="BB374" s="2">
        <v>2</v>
      </c>
      <c r="BC374" s="2">
        <f t="shared" ref="BC374:BE374" si="5142">_xlfn.RANK.EQ(BB374, BB$7:BB$375,0)</f>
        <v>355</v>
      </c>
      <c r="BD374" s="2">
        <v>0</v>
      </c>
      <c r="BE374" s="2">
        <f t="shared" si="5142"/>
        <v>357</v>
      </c>
      <c r="BF374" s="2">
        <v>-5</v>
      </c>
      <c r="BG374" s="2">
        <f t="shared" ref="BG374:BI374" si="5143">_xlfn.RANK.EQ(BF374, BF$7:BF$375,0)</f>
        <v>356</v>
      </c>
      <c r="BH374" s="2">
        <v>-17</v>
      </c>
      <c r="BI374" s="2">
        <f t="shared" si="5143"/>
        <v>185</v>
      </c>
    </row>
    <row r="375" spans="1:61" x14ac:dyDescent="0.55000000000000004">
      <c r="A375" s="2">
        <v>363</v>
      </c>
      <c r="B375" s="2" t="s">
        <v>425</v>
      </c>
      <c r="C375" s="2" t="s">
        <v>48</v>
      </c>
      <c r="D375" s="2">
        <v>1</v>
      </c>
      <c r="E375" s="2">
        <f t="shared" si="4485"/>
        <v>367</v>
      </c>
      <c r="F375" s="2">
        <v>0</v>
      </c>
      <c r="G375" s="2">
        <f t="shared" ref="G375:I375" si="5144">_xlfn.RANK.EQ(F375, F$7:F$375,0)</f>
        <v>291</v>
      </c>
      <c r="H375" s="5">
        <v>9.0277777777777769E-3</v>
      </c>
      <c r="I375" s="2">
        <f t="shared" si="5144"/>
        <v>369</v>
      </c>
      <c r="J375" s="5">
        <v>9.0277777777777769E-3</v>
      </c>
      <c r="K375" s="2">
        <f t="shared" ref="K375:M375" si="5145">_xlfn.RANK.EQ(J375, J$7:J$375,0)</f>
        <v>369</v>
      </c>
      <c r="L375" s="2">
        <v>0</v>
      </c>
      <c r="M375" s="2">
        <f t="shared" si="5145"/>
        <v>363</v>
      </c>
      <c r="N375" s="2">
        <v>0</v>
      </c>
      <c r="O375" s="2">
        <f t="shared" ref="O375:Q375" si="5146">_xlfn.RANK.EQ(N375, N$7:N$375,0)</f>
        <v>363</v>
      </c>
      <c r="P375" s="2">
        <v>1</v>
      </c>
      <c r="Q375" s="2">
        <f t="shared" si="5146"/>
        <v>367</v>
      </c>
      <c r="R375" s="4">
        <v>0</v>
      </c>
      <c r="S375" s="2">
        <f t="shared" ref="S375:U375" si="5147">_xlfn.RANK.EQ(R375, R$7:R$375,0)</f>
        <v>363</v>
      </c>
      <c r="T375" s="2">
        <v>0</v>
      </c>
      <c r="U375" s="2">
        <f t="shared" si="5147"/>
        <v>359</v>
      </c>
      <c r="V375" s="2">
        <v>0</v>
      </c>
      <c r="W375" s="2">
        <f t="shared" ref="W375:Y375" si="5148">_xlfn.RANK.EQ(V375, V$7:V$375,0)</f>
        <v>365</v>
      </c>
      <c r="X375" s="4">
        <v>0</v>
      </c>
      <c r="Y375" s="2">
        <f t="shared" si="5148"/>
        <v>359</v>
      </c>
      <c r="Z375" s="2">
        <v>0</v>
      </c>
      <c r="AA375" s="2">
        <f t="shared" ref="AA375:AC375" si="5149">_xlfn.RANK.EQ(Z375, Z$7:Z$375,0)</f>
        <v>329</v>
      </c>
      <c r="AB375" s="2">
        <v>1</v>
      </c>
      <c r="AC375" s="2">
        <f t="shared" si="5149"/>
        <v>342</v>
      </c>
      <c r="AD375" s="4">
        <v>0</v>
      </c>
      <c r="AE375" s="2">
        <f t="shared" ref="AE375:AG375" si="5150">_xlfn.RANK.EQ(AD375, AD$7:AD$375,0)</f>
        <v>329</v>
      </c>
      <c r="AF375" s="2">
        <v>0</v>
      </c>
      <c r="AG375" s="2">
        <f t="shared" si="5150"/>
        <v>348</v>
      </c>
      <c r="AH375" s="2">
        <v>0</v>
      </c>
      <c r="AI375" s="2">
        <f t="shared" ref="AI375:AK375" si="5151">_xlfn.RANK.EQ(AH375, AH$7:AH$375,0)</f>
        <v>351</v>
      </c>
      <c r="AJ375" s="4">
        <v>0</v>
      </c>
      <c r="AK375" s="2">
        <f t="shared" si="5151"/>
        <v>348</v>
      </c>
      <c r="AL375" s="2">
        <v>0</v>
      </c>
      <c r="AM375" s="2">
        <f t="shared" ref="AM375:AO375" si="5152">_xlfn.RANK.EQ(AL375, AL$7:AL$375,0)</f>
        <v>354</v>
      </c>
      <c r="AN375" s="2">
        <v>0</v>
      </c>
      <c r="AO375" s="2">
        <f t="shared" si="5152"/>
        <v>363</v>
      </c>
      <c r="AP375" s="2">
        <v>0</v>
      </c>
      <c r="AQ375" s="2">
        <f t="shared" ref="AQ375:AS375" si="5153">_xlfn.RANK.EQ(AP375, AP$7:AP$375,0)</f>
        <v>366</v>
      </c>
      <c r="AR375" s="2">
        <v>0</v>
      </c>
      <c r="AS375" s="2">
        <f t="shared" si="5153"/>
        <v>354</v>
      </c>
      <c r="AT375" s="2">
        <v>0</v>
      </c>
      <c r="AU375" s="2">
        <f t="shared" ref="AU375:AW375" si="5154">_xlfn.RANK.EQ(AT375, AT$7:AT$375,0)</f>
        <v>360</v>
      </c>
      <c r="AV375" s="2">
        <v>0</v>
      </c>
      <c r="AW375" s="2">
        <f t="shared" si="5154"/>
        <v>352</v>
      </c>
      <c r="AX375" s="2">
        <v>0</v>
      </c>
      <c r="AY375" s="2">
        <f t="shared" ref="AY375:BA375" si="5155">_xlfn.RANK.EQ(AX375, AX$7:AX$375,0)</f>
        <v>298</v>
      </c>
      <c r="AZ375" s="2">
        <v>0</v>
      </c>
      <c r="BA375" s="2">
        <f t="shared" si="5155"/>
        <v>337</v>
      </c>
      <c r="BB375" s="2">
        <v>0</v>
      </c>
      <c r="BC375" s="2">
        <f t="shared" ref="BC375:BE375" si="5156">_xlfn.RANK.EQ(BB375, BB$7:BB$375,0)</f>
        <v>365</v>
      </c>
      <c r="BD375" s="2">
        <v>0</v>
      </c>
      <c r="BE375" s="2">
        <f t="shared" si="5156"/>
        <v>357</v>
      </c>
      <c r="BF375" s="2">
        <v>-1</v>
      </c>
      <c r="BG375" s="2">
        <f t="shared" ref="BG375:BI375" si="5157">_xlfn.RANK.EQ(BF375, BF$7:BF$375,0)</f>
        <v>344</v>
      </c>
      <c r="BH375" s="2">
        <v>0</v>
      </c>
      <c r="BI375" s="2">
        <f t="shared" si="5157"/>
        <v>148</v>
      </c>
    </row>
    <row r="400" spans="2:61" x14ac:dyDescent="0.55000000000000004">
      <c r="B400" s="7"/>
      <c r="C400" s="11"/>
      <c r="D400" s="9" t="s">
        <v>6</v>
      </c>
      <c r="E400" s="2"/>
      <c r="F400" s="2"/>
      <c r="G400" s="2"/>
      <c r="H400" s="2" t="s">
        <v>7</v>
      </c>
      <c r="I400" s="2"/>
      <c r="J400" s="2"/>
      <c r="K400" s="2"/>
      <c r="L400" s="2" t="s">
        <v>8</v>
      </c>
      <c r="M400" s="2"/>
      <c r="N400" s="2" t="s">
        <v>9</v>
      </c>
      <c r="O400" s="2"/>
      <c r="P400" s="2"/>
      <c r="Q400" s="2"/>
      <c r="R400" s="2"/>
      <c r="S400" s="2"/>
      <c r="T400" s="2" t="s">
        <v>10</v>
      </c>
      <c r="U400" s="2"/>
      <c r="V400" s="2"/>
      <c r="W400" s="2"/>
      <c r="X400" s="2"/>
      <c r="Y400" s="2"/>
      <c r="Z400" s="2" t="s">
        <v>11</v>
      </c>
      <c r="AA400" s="2"/>
      <c r="AB400" s="2"/>
      <c r="AC400" s="2"/>
      <c r="AD400" s="2"/>
      <c r="AE400" s="2"/>
      <c r="AF400" s="2" t="s">
        <v>12</v>
      </c>
      <c r="AG400" s="2"/>
      <c r="AH400" s="2"/>
      <c r="AI400" s="2"/>
      <c r="AJ400" s="2"/>
      <c r="AK400" s="2"/>
      <c r="AL400" s="2" t="s">
        <v>13</v>
      </c>
      <c r="AM400" s="2"/>
      <c r="AN400" s="2"/>
      <c r="AO400" s="2"/>
      <c r="AP400" s="2"/>
      <c r="AQ400" s="2"/>
      <c r="AR400" s="2" t="s">
        <v>14</v>
      </c>
      <c r="AS400" s="2"/>
      <c r="AT400" s="2" t="s">
        <v>15</v>
      </c>
      <c r="AU400" s="2"/>
      <c r="AV400" s="2" t="s">
        <v>16</v>
      </c>
      <c r="AW400" s="2"/>
      <c r="AX400" s="2" t="s">
        <v>17</v>
      </c>
      <c r="AY400" s="2"/>
      <c r="AZ400" s="2"/>
      <c r="BA400" s="2"/>
      <c r="BB400" s="2" t="s">
        <v>18</v>
      </c>
      <c r="BC400" s="2"/>
      <c r="BD400" s="2"/>
      <c r="BE400" s="2"/>
      <c r="BF400" s="2" t="s">
        <v>19</v>
      </c>
      <c r="BG400" s="2"/>
      <c r="BH400" s="2"/>
      <c r="BI400" s="2"/>
    </row>
    <row r="401" spans="3:61" x14ac:dyDescent="0.55000000000000004">
      <c r="C401" s="10"/>
      <c r="D401" s="2" t="s">
        <v>20</v>
      </c>
      <c r="E401" s="2" t="s">
        <v>434</v>
      </c>
      <c r="F401" s="2" t="s">
        <v>21</v>
      </c>
      <c r="G401" s="2" t="s">
        <v>435</v>
      </c>
      <c r="H401" s="2" t="s">
        <v>22</v>
      </c>
      <c r="I401" s="2" t="s">
        <v>436</v>
      </c>
      <c r="J401" s="2" t="s">
        <v>23</v>
      </c>
      <c r="K401" s="2" t="s">
        <v>437</v>
      </c>
      <c r="L401" s="2" t="s">
        <v>24</v>
      </c>
      <c r="M401" s="2" t="s">
        <v>438</v>
      </c>
      <c r="N401" s="2" t="s">
        <v>25</v>
      </c>
      <c r="O401" s="2" t="s">
        <v>439</v>
      </c>
      <c r="P401" s="2" t="s">
        <v>26</v>
      </c>
      <c r="Q401" s="2" t="s">
        <v>440</v>
      </c>
      <c r="R401" s="2" t="s">
        <v>27</v>
      </c>
      <c r="S401" s="2" t="s">
        <v>441</v>
      </c>
      <c r="T401" s="2" t="s">
        <v>28</v>
      </c>
      <c r="U401" s="2" t="s">
        <v>442</v>
      </c>
      <c r="V401" s="2" t="s">
        <v>29</v>
      </c>
      <c r="W401" s="2" t="s">
        <v>443</v>
      </c>
      <c r="X401" s="2" t="s">
        <v>444</v>
      </c>
      <c r="Y401" s="2" t="s">
        <v>445</v>
      </c>
      <c r="Z401" s="2" t="s">
        <v>446</v>
      </c>
      <c r="AA401" s="2" t="s">
        <v>447</v>
      </c>
      <c r="AB401" s="2" t="s">
        <v>448</v>
      </c>
      <c r="AC401" s="2" t="s">
        <v>449</v>
      </c>
      <c r="AD401" s="2" t="s">
        <v>450</v>
      </c>
      <c r="AE401" s="2" t="s">
        <v>451</v>
      </c>
      <c r="AF401" s="2" t="s">
        <v>452</v>
      </c>
      <c r="AG401" s="2" t="s">
        <v>453</v>
      </c>
      <c r="AH401" s="2" t="s">
        <v>454</v>
      </c>
      <c r="AI401" s="2" t="s">
        <v>455</v>
      </c>
      <c r="AJ401" s="2" t="s">
        <v>456</v>
      </c>
      <c r="AK401" s="2" t="s">
        <v>457</v>
      </c>
      <c r="AL401" s="2" t="s">
        <v>458</v>
      </c>
      <c r="AM401" s="2" t="s">
        <v>459</v>
      </c>
      <c r="AN401" s="2" t="s">
        <v>460</v>
      </c>
      <c r="AO401" s="2" t="s">
        <v>461</v>
      </c>
      <c r="AP401" s="2" t="s">
        <v>462</v>
      </c>
      <c r="AQ401" s="2" t="s">
        <v>463</v>
      </c>
      <c r="AR401" s="2" t="s">
        <v>464</v>
      </c>
      <c r="AS401" s="2" t="s">
        <v>465</v>
      </c>
      <c r="AT401" s="2" t="s">
        <v>466</v>
      </c>
      <c r="AU401" s="2" t="s">
        <v>467</v>
      </c>
      <c r="AV401" s="2" t="s">
        <v>468</v>
      </c>
      <c r="AW401" s="2" t="s">
        <v>469</v>
      </c>
      <c r="AX401" s="2" t="s">
        <v>470</v>
      </c>
      <c r="AY401" s="2" t="s">
        <v>471</v>
      </c>
      <c r="AZ401" s="2" t="s">
        <v>472</v>
      </c>
      <c r="BA401" s="2" t="s">
        <v>473</v>
      </c>
      <c r="BB401" s="2" t="s">
        <v>474</v>
      </c>
      <c r="BC401" s="2" t="s">
        <v>475</v>
      </c>
      <c r="BD401" s="2" t="s">
        <v>476</v>
      </c>
      <c r="BE401" s="2" t="s">
        <v>477</v>
      </c>
      <c r="BF401" s="2" t="s">
        <v>478</v>
      </c>
      <c r="BG401" s="2" t="s">
        <v>479</v>
      </c>
      <c r="BH401" s="2" t="s">
        <v>30</v>
      </c>
      <c r="BI401" s="6" t="s">
        <v>480</v>
      </c>
    </row>
    <row r="402" spans="3:61" x14ac:dyDescent="0.55000000000000004">
      <c r="C402" s="2" t="s">
        <v>484</v>
      </c>
      <c r="D402" s="2">
        <f>MAX(D$7:D$375)</f>
        <v>60</v>
      </c>
      <c r="E402" s="2">
        <f t="shared" ref="E402:BI402" si="5158">MAX(E$7:E$375)</f>
        <v>367</v>
      </c>
      <c r="F402" s="2">
        <f t="shared" si="5158"/>
        <v>60</v>
      </c>
      <c r="G402" s="2">
        <f t="shared" si="5158"/>
        <v>291</v>
      </c>
      <c r="H402" s="2">
        <f t="shared" si="5158"/>
        <v>78.34930555555556</v>
      </c>
      <c r="I402" s="2">
        <f t="shared" si="5158"/>
        <v>369</v>
      </c>
      <c r="J402" s="2">
        <f t="shared" si="5158"/>
        <v>1.3381944444444445</v>
      </c>
      <c r="K402" s="2">
        <f t="shared" si="5158"/>
        <v>369</v>
      </c>
      <c r="L402" s="2">
        <f t="shared" si="5158"/>
        <v>1591</v>
      </c>
      <c r="M402" s="2">
        <f t="shared" si="5158"/>
        <v>363</v>
      </c>
      <c r="N402" s="2">
        <f t="shared" si="5158"/>
        <v>534</v>
      </c>
      <c r="O402" s="2">
        <f t="shared" si="5158"/>
        <v>363</v>
      </c>
      <c r="P402" s="2">
        <f t="shared" si="5158"/>
        <v>1148</v>
      </c>
      <c r="Q402" s="2">
        <f t="shared" si="5158"/>
        <v>369</v>
      </c>
      <c r="R402" s="2">
        <f t="shared" si="5158"/>
        <v>1</v>
      </c>
      <c r="S402" s="2">
        <f t="shared" si="5158"/>
        <v>363</v>
      </c>
      <c r="T402" s="2">
        <f t="shared" si="5158"/>
        <v>395</v>
      </c>
      <c r="U402" s="2">
        <f t="shared" si="5158"/>
        <v>359</v>
      </c>
      <c r="V402" s="2">
        <f t="shared" si="5158"/>
        <v>685</v>
      </c>
      <c r="W402" s="2">
        <f t="shared" si="5158"/>
        <v>365</v>
      </c>
      <c r="X402" s="2">
        <f t="shared" si="5158"/>
        <v>1</v>
      </c>
      <c r="Y402" s="2">
        <f t="shared" si="5158"/>
        <v>359</v>
      </c>
      <c r="Z402" s="2">
        <f t="shared" si="5158"/>
        <v>187</v>
      </c>
      <c r="AA402" s="2">
        <f t="shared" si="5158"/>
        <v>329</v>
      </c>
      <c r="AB402" s="2">
        <f t="shared" si="5158"/>
        <v>470</v>
      </c>
      <c r="AC402" s="2">
        <f t="shared" si="5158"/>
        <v>360</v>
      </c>
      <c r="AD402" s="2">
        <f t="shared" si="5158"/>
        <v>1</v>
      </c>
      <c r="AE402" s="2">
        <f t="shared" si="5158"/>
        <v>329</v>
      </c>
      <c r="AF402" s="2">
        <f t="shared" si="5158"/>
        <v>371</v>
      </c>
      <c r="AG402" s="2">
        <f t="shared" si="5158"/>
        <v>348</v>
      </c>
      <c r="AH402" s="2">
        <f t="shared" si="5158"/>
        <v>445</v>
      </c>
      <c r="AI402" s="2">
        <f t="shared" si="5158"/>
        <v>351</v>
      </c>
      <c r="AJ402" s="2">
        <f t="shared" si="5158"/>
        <v>1</v>
      </c>
      <c r="AK402" s="2">
        <f t="shared" si="5158"/>
        <v>348</v>
      </c>
      <c r="AL402" s="2">
        <f t="shared" si="5158"/>
        <v>267</v>
      </c>
      <c r="AM402" s="2">
        <f t="shared" si="5158"/>
        <v>354</v>
      </c>
      <c r="AN402" s="2">
        <f t="shared" si="5158"/>
        <v>406</v>
      </c>
      <c r="AO402" s="2">
        <f t="shared" si="5158"/>
        <v>363</v>
      </c>
      <c r="AP402" s="2">
        <f t="shared" si="5158"/>
        <v>594</v>
      </c>
      <c r="AQ402" s="2">
        <f t="shared" si="5158"/>
        <v>366</v>
      </c>
      <c r="AR402" s="2">
        <f t="shared" si="5158"/>
        <v>380</v>
      </c>
      <c r="AS402" s="2">
        <f t="shared" si="5158"/>
        <v>354</v>
      </c>
      <c r="AT402" s="2">
        <f t="shared" si="5158"/>
        <v>179</v>
      </c>
      <c r="AU402" s="2">
        <f t="shared" si="5158"/>
        <v>360</v>
      </c>
      <c r="AV402" s="2">
        <f t="shared" si="5158"/>
        <v>114</v>
      </c>
      <c r="AW402" s="2">
        <f t="shared" si="5158"/>
        <v>352</v>
      </c>
      <c r="AX402" s="2">
        <f t="shared" si="5158"/>
        <v>72</v>
      </c>
      <c r="AY402" s="2">
        <f t="shared" si="5158"/>
        <v>298</v>
      </c>
      <c r="AZ402" s="2">
        <f t="shared" si="5158"/>
        <v>47</v>
      </c>
      <c r="BA402" s="2">
        <f t="shared" si="5158"/>
        <v>337</v>
      </c>
      <c r="BB402" s="2">
        <f t="shared" si="5158"/>
        <v>185</v>
      </c>
      <c r="BC402" s="2">
        <f t="shared" si="5158"/>
        <v>365</v>
      </c>
      <c r="BD402" s="2">
        <f t="shared" si="5158"/>
        <v>414</v>
      </c>
      <c r="BE402" s="2">
        <f t="shared" si="5158"/>
        <v>357</v>
      </c>
      <c r="BF402" s="2">
        <f t="shared" si="5158"/>
        <v>1670</v>
      </c>
      <c r="BG402" s="2">
        <f t="shared" si="5158"/>
        <v>369</v>
      </c>
      <c r="BH402" s="2">
        <f t="shared" si="5158"/>
        <v>684</v>
      </c>
      <c r="BI402" s="2">
        <f t="shared" si="5158"/>
        <v>369</v>
      </c>
    </row>
    <row r="403" spans="3:61" x14ac:dyDescent="0.55000000000000004">
      <c r="C403" s="8" t="s">
        <v>485</v>
      </c>
      <c r="D403" s="2">
        <f>_xlfn.QUARTILE.INC(D$7:D$375,3)</f>
        <v>58</v>
      </c>
      <c r="E403" s="2">
        <f t="shared" ref="E403:BI403" si="5159">_xlfn.QUARTILE.INC(E$7:E$375,3)</f>
        <v>276</v>
      </c>
      <c r="F403" s="2">
        <f t="shared" si="5159"/>
        <v>38</v>
      </c>
      <c r="G403" s="2">
        <f t="shared" si="5159"/>
        <v>272</v>
      </c>
      <c r="H403" s="2">
        <f t="shared" si="5159"/>
        <v>54.007638888888891</v>
      </c>
      <c r="I403" s="2">
        <f t="shared" si="5159"/>
        <v>277</v>
      </c>
      <c r="J403" s="2">
        <f t="shared" si="5159"/>
        <v>1.0020833333333334</v>
      </c>
      <c r="K403" s="2">
        <f t="shared" si="5159"/>
        <v>277</v>
      </c>
      <c r="L403" s="2">
        <f t="shared" si="5159"/>
        <v>485</v>
      </c>
      <c r="M403" s="2">
        <f t="shared" si="5159"/>
        <v>277</v>
      </c>
      <c r="N403" s="2">
        <f t="shared" si="5159"/>
        <v>174</v>
      </c>
      <c r="O403" s="2">
        <f t="shared" si="5159"/>
        <v>277</v>
      </c>
      <c r="P403" s="2">
        <f t="shared" si="5159"/>
        <v>413</v>
      </c>
      <c r="Q403" s="2">
        <f t="shared" si="5159"/>
        <v>276</v>
      </c>
      <c r="R403" s="2">
        <f t="shared" si="5159"/>
        <v>0.46800000000000003</v>
      </c>
      <c r="S403" s="2">
        <f t="shared" si="5159"/>
        <v>277</v>
      </c>
      <c r="T403" s="2">
        <f t="shared" si="5159"/>
        <v>122</v>
      </c>
      <c r="U403" s="2">
        <f t="shared" si="5159"/>
        <v>275</v>
      </c>
      <c r="V403" s="2">
        <f t="shared" si="5159"/>
        <v>223</v>
      </c>
      <c r="W403" s="2">
        <f t="shared" si="5159"/>
        <v>277</v>
      </c>
      <c r="X403" s="2">
        <f t="shared" si="5159"/>
        <v>0.56100000000000005</v>
      </c>
      <c r="Y403" s="2">
        <f t="shared" si="5159"/>
        <v>275</v>
      </c>
      <c r="Z403" s="2">
        <f t="shared" si="5159"/>
        <v>61</v>
      </c>
      <c r="AA403" s="2">
        <f t="shared" si="5159"/>
        <v>274</v>
      </c>
      <c r="AB403" s="2">
        <f t="shared" si="5159"/>
        <v>185</v>
      </c>
      <c r="AC403" s="2">
        <f t="shared" si="5159"/>
        <v>274</v>
      </c>
      <c r="AD403" s="2">
        <f t="shared" si="5159"/>
        <v>0.36399999999999999</v>
      </c>
      <c r="AE403" s="2">
        <f t="shared" si="5159"/>
        <v>277</v>
      </c>
      <c r="AF403" s="2">
        <f t="shared" si="5159"/>
        <v>76</v>
      </c>
      <c r="AG403" s="2">
        <f t="shared" si="5159"/>
        <v>271</v>
      </c>
      <c r="AH403" s="2">
        <f t="shared" si="5159"/>
        <v>100</v>
      </c>
      <c r="AI403" s="2">
        <f t="shared" si="5159"/>
        <v>271</v>
      </c>
      <c r="AJ403" s="2">
        <f t="shared" si="5159"/>
        <v>0.8</v>
      </c>
      <c r="AK403" s="2">
        <f t="shared" si="5159"/>
        <v>273</v>
      </c>
      <c r="AL403" s="2">
        <f t="shared" si="5159"/>
        <v>49</v>
      </c>
      <c r="AM403" s="2">
        <f t="shared" si="5159"/>
        <v>276</v>
      </c>
      <c r="AN403" s="2">
        <f t="shared" si="5159"/>
        <v>123</v>
      </c>
      <c r="AO403" s="2">
        <f t="shared" si="5159"/>
        <v>276</v>
      </c>
      <c r="AP403" s="2">
        <f t="shared" si="5159"/>
        <v>161</v>
      </c>
      <c r="AQ403" s="2">
        <f t="shared" si="5159"/>
        <v>277</v>
      </c>
      <c r="AR403" s="2">
        <f t="shared" si="5159"/>
        <v>124</v>
      </c>
      <c r="AS403" s="2">
        <f t="shared" si="5159"/>
        <v>277</v>
      </c>
      <c r="AT403" s="2">
        <f t="shared" si="5159"/>
        <v>71</v>
      </c>
      <c r="AU403" s="2">
        <f t="shared" si="5159"/>
        <v>273</v>
      </c>
      <c r="AV403" s="2">
        <f t="shared" si="5159"/>
        <v>43</v>
      </c>
      <c r="AW403" s="2">
        <f t="shared" si="5159"/>
        <v>273</v>
      </c>
      <c r="AX403" s="2">
        <f t="shared" si="5159"/>
        <v>12</v>
      </c>
      <c r="AY403" s="2">
        <f t="shared" si="5159"/>
        <v>265</v>
      </c>
      <c r="AZ403" s="2">
        <f t="shared" si="5159"/>
        <v>15</v>
      </c>
      <c r="BA403" s="2">
        <f t="shared" si="5159"/>
        <v>267</v>
      </c>
      <c r="BB403" s="2">
        <f t="shared" si="5159"/>
        <v>116</v>
      </c>
      <c r="BC403" s="2">
        <f t="shared" si="5159"/>
        <v>276</v>
      </c>
      <c r="BD403" s="2">
        <f t="shared" si="5159"/>
        <v>123</v>
      </c>
      <c r="BE403" s="2">
        <f t="shared" si="5159"/>
        <v>275</v>
      </c>
      <c r="BF403" s="2">
        <f t="shared" si="5159"/>
        <v>563</v>
      </c>
      <c r="BG403" s="2">
        <f t="shared" si="5159"/>
        <v>276</v>
      </c>
      <c r="BH403" s="2">
        <f t="shared" si="5159"/>
        <v>67</v>
      </c>
      <c r="BI403" s="2">
        <f t="shared" si="5159"/>
        <v>277</v>
      </c>
    </row>
    <row r="404" spans="3:61" x14ac:dyDescent="0.55000000000000004">
      <c r="C404" s="2" t="s">
        <v>486</v>
      </c>
      <c r="D404" s="2">
        <f>MEDIAN(D$7:D$375)</f>
        <v>51</v>
      </c>
      <c r="E404" s="2">
        <f t="shared" ref="E404:BI404" si="5160">MEDIAN(E$7:E$375)</f>
        <v>183</v>
      </c>
      <c r="F404" s="2">
        <f t="shared" si="5160"/>
        <v>14</v>
      </c>
      <c r="G404" s="2">
        <f t="shared" si="5160"/>
        <v>182</v>
      </c>
      <c r="H404" s="2">
        <f t="shared" si="5160"/>
        <v>33.238888888888887</v>
      </c>
      <c r="I404" s="2">
        <f t="shared" si="5160"/>
        <v>185</v>
      </c>
      <c r="J404" s="2">
        <f t="shared" si="5160"/>
        <v>0.7270833333333333</v>
      </c>
      <c r="K404" s="2">
        <f t="shared" si="5160"/>
        <v>185</v>
      </c>
      <c r="L404" s="2">
        <f t="shared" si="5160"/>
        <v>236</v>
      </c>
      <c r="M404" s="2">
        <f t="shared" si="5160"/>
        <v>185</v>
      </c>
      <c r="N404" s="2">
        <f t="shared" si="5160"/>
        <v>86</v>
      </c>
      <c r="O404" s="2">
        <f t="shared" si="5160"/>
        <v>184</v>
      </c>
      <c r="P404" s="2">
        <f t="shared" si="5160"/>
        <v>219</v>
      </c>
      <c r="Q404" s="2">
        <f t="shared" si="5160"/>
        <v>185</v>
      </c>
      <c r="R404" s="2">
        <f t="shared" si="5160"/>
        <v>0.40699999999999997</v>
      </c>
      <c r="S404" s="2">
        <f t="shared" si="5160"/>
        <v>185</v>
      </c>
      <c r="T404" s="2">
        <f t="shared" si="5160"/>
        <v>46</v>
      </c>
      <c r="U404" s="2">
        <f t="shared" si="5160"/>
        <v>184</v>
      </c>
      <c r="V404" s="2">
        <f t="shared" si="5160"/>
        <v>94</v>
      </c>
      <c r="W404" s="2">
        <f t="shared" si="5160"/>
        <v>182</v>
      </c>
      <c r="X404" s="2">
        <f t="shared" si="5160"/>
        <v>0.5</v>
      </c>
      <c r="Y404" s="2">
        <f t="shared" si="5160"/>
        <v>175</v>
      </c>
      <c r="Z404" s="2">
        <f t="shared" si="5160"/>
        <v>27</v>
      </c>
      <c r="AA404" s="2">
        <f t="shared" si="5160"/>
        <v>185</v>
      </c>
      <c r="AB404" s="2">
        <f t="shared" si="5160"/>
        <v>89</v>
      </c>
      <c r="AC404" s="2">
        <f t="shared" si="5160"/>
        <v>184</v>
      </c>
      <c r="AD404" s="2">
        <f t="shared" si="5160"/>
        <v>0.318</v>
      </c>
      <c r="AE404" s="2">
        <f t="shared" si="5160"/>
        <v>185</v>
      </c>
      <c r="AF404" s="2">
        <f t="shared" si="5160"/>
        <v>28</v>
      </c>
      <c r="AG404" s="2">
        <f t="shared" si="5160"/>
        <v>182</v>
      </c>
      <c r="AH404" s="2">
        <f t="shared" si="5160"/>
        <v>38</v>
      </c>
      <c r="AI404" s="2">
        <f t="shared" si="5160"/>
        <v>181</v>
      </c>
      <c r="AJ404" s="2">
        <f t="shared" si="5160"/>
        <v>0.72199999999999998</v>
      </c>
      <c r="AK404" s="2">
        <f t="shared" si="5160"/>
        <v>185</v>
      </c>
      <c r="AL404" s="2">
        <f t="shared" si="5160"/>
        <v>23</v>
      </c>
      <c r="AM404" s="2">
        <f t="shared" si="5160"/>
        <v>185</v>
      </c>
      <c r="AN404" s="2">
        <f t="shared" si="5160"/>
        <v>58</v>
      </c>
      <c r="AO404" s="2">
        <f t="shared" si="5160"/>
        <v>185</v>
      </c>
      <c r="AP404" s="2">
        <f t="shared" si="5160"/>
        <v>82</v>
      </c>
      <c r="AQ404" s="2">
        <f t="shared" si="5160"/>
        <v>183</v>
      </c>
      <c r="AR404" s="2">
        <f t="shared" si="5160"/>
        <v>67</v>
      </c>
      <c r="AS404" s="2">
        <f t="shared" si="5160"/>
        <v>183</v>
      </c>
      <c r="AT404" s="2">
        <f t="shared" si="5160"/>
        <v>37</v>
      </c>
      <c r="AU404" s="2">
        <f t="shared" si="5160"/>
        <v>185</v>
      </c>
      <c r="AV404" s="2">
        <f t="shared" si="5160"/>
        <v>24</v>
      </c>
      <c r="AW404" s="2">
        <f t="shared" si="5160"/>
        <v>180</v>
      </c>
      <c r="AX404" s="2">
        <f t="shared" si="5160"/>
        <v>5</v>
      </c>
      <c r="AY404" s="2">
        <f t="shared" si="5160"/>
        <v>169</v>
      </c>
      <c r="AZ404" s="2">
        <f t="shared" si="5160"/>
        <v>8</v>
      </c>
      <c r="BA404" s="2">
        <f t="shared" si="5160"/>
        <v>181</v>
      </c>
      <c r="BB404" s="2">
        <f t="shared" si="5160"/>
        <v>83</v>
      </c>
      <c r="BC404" s="2">
        <f t="shared" si="5160"/>
        <v>184</v>
      </c>
      <c r="BD404" s="2">
        <f t="shared" si="5160"/>
        <v>46</v>
      </c>
      <c r="BE404" s="2">
        <f t="shared" si="5160"/>
        <v>182</v>
      </c>
      <c r="BF404" s="2">
        <f t="shared" si="5160"/>
        <v>204</v>
      </c>
      <c r="BG404" s="2">
        <f t="shared" si="5160"/>
        <v>184</v>
      </c>
      <c r="BH404" s="2">
        <f t="shared" si="5160"/>
        <v>-17</v>
      </c>
      <c r="BI404" s="2">
        <f t="shared" si="5160"/>
        <v>185</v>
      </c>
    </row>
    <row r="405" spans="3:61" x14ac:dyDescent="0.55000000000000004">
      <c r="C405" s="8" t="s">
        <v>487</v>
      </c>
      <c r="D405" s="2">
        <f>_xlfn.QUARTILE.INC(D$7:D$375,1)</f>
        <v>34</v>
      </c>
      <c r="E405" s="2">
        <f t="shared" ref="E405:BI405" si="5161">_xlfn.QUARTILE.INC(E$7:E$375,1)</f>
        <v>78</v>
      </c>
      <c r="F405" s="2">
        <f t="shared" si="5161"/>
        <v>1</v>
      </c>
      <c r="G405" s="2">
        <f t="shared" si="5161"/>
        <v>91</v>
      </c>
      <c r="H405" s="2">
        <f t="shared" si="5161"/>
        <v>14.966666666666667</v>
      </c>
      <c r="I405" s="2">
        <f t="shared" si="5161"/>
        <v>93</v>
      </c>
      <c r="J405" s="2">
        <f t="shared" si="5161"/>
        <v>0.40902777777777777</v>
      </c>
      <c r="K405" s="2">
        <f t="shared" si="5161"/>
        <v>93</v>
      </c>
      <c r="L405" s="2">
        <f t="shared" si="5161"/>
        <v>84</v>
      </c>
      <c r="M405" s="2">
        <f t="shared" si="5161"/>
        <v>92</v>
      </c>
      <c r="N405" s="2">
        <f t="shared" si="5161"/>
        <v>31</v>
      </c>
      <c r="O405" s="2">
        <f t="shared" si="5161"/>
        <v>93</v>
      </c>
      <c r="P405" s="2">
        <f t="shared" si="5161"/>
        <v>81</v>
      </c>
      <c r="Q405" s="2">
        <f t="shared" si="5161"/>
        <v>93</v>
      </c>
      <c r="R405" s="2">
        <f t="shared" si="5161"/>
        <v>0.35099999999999998</v>
      </c>
      <c r="S405" s="2">
        <f t="shared" si="5161"/>
        <v>93</v>
      </c>
      <c r="T405" s="2">
        <f t="shared" si="5161"/>
        <v>15</v>
      </c>
      <c r="U405" s="2">
        <f t="shared" si="5161"/>
        <v>93</v>
      </c>
      <c r="V405" s="2">
        <f t="shared" si="5161"/>
        <v>35</v>
      </c>
      <c r="W405" s="2">
        <f t="shared" si="5161"/>
        <v>92</v>
      </c>
      <c r="X405" s="2">
        <f t="shared" si="5161"/>
        <v>0.42399999999999999</v>
      </c>
      <c r="Y405" s="2">
        <f t="shared" si="5161"/>
        <v>93</v>
      </c>
      <c r="Z405" s="2">
        <f t="shared" si="5161"/>
        <v>6</v>
      </c>
      <c r="AA405" s="2">
        <f t="shared" si="5161"/>
        <v>93</v>
      </c>
      <c r="AB405" s="2">
        <f t="shared" si="5161"/>
        <v>27</v>
      </c>
      <c r="AC405" s="2">
        <f t="shared" si="5161"/>
        <v>92</v>
      </c>
      <c r="AD405" s="2">
        <f t="shared" si="5161"/>
        <v>0.23899999999999999</v>
      </c>
      <c r="AE405" s="2">
        <f t="shared" si="5161"/>
        <v>91</v>
      </c>
      <c r="AF405" s="2">
        <f t="shared" si="5161"/>
        <v>10</v>
      </c>
      <c r="AG405" s="2">
        <f t="shared" si="5161"/>
        <v>93</v>
      </c>
      <c r="AH405" s="2">
        <f t="shared" si="5161"/>
        <v>14</v>
      </c>
      <c r="AI405" s="2">
        <f t="shared" si="5161"/>
        <v>93</v>
      </c>
      <c r="AJ405" s="2">
        <f t="shared" si="5161"/>
        <v>0.6</v>
      </c>
      <c r="AK405" s="2">
        <f t="shared" si="5161"/>
        <v>85</v>
      </c>
      <c r="AL405" s="2">
        <f t="shared" si="5161"/>
        <v>10</v>
      </c>
      <c r="AM405" s="2">
        <f t="shared" si="5161"/>
        <v>92</v>
      </c>
      <c r="AN405" s="2">
        <f t="shared" si="5161"/>
        <v>25</v>
      </c>
      <c r="AO405" s="2">
        <f t="shared" si="5161"/>
        <v>93</v>
      </c>
      <c r="AP405" s="2">
        <f t="shared" si="5161"/>
        <v>36</v>
      </c>
      <c r="AQ405" s="2">
        <f t="shared" si="5161"/>
        <v>93</v>
      </c>
      <c r="AR405" s="2">
        <f t="shared" si="5161"/>
        <v>20</v>
      </c>
      <c r="AS405" s="2">
        <f t="shared" si="5161"/>
        <v>93</v>
      </c>
      <c r="AT405" s="2">
        <f t="shared" si="5161"/>
        <v>17</v>
      </c>
      <c r="AU405" s="2">
        <f t="shared" si="5161"/>
        <v>92</v>
      </c>
      <c r="AV405" s="2">
        <f t="shared" si="5161"/>
        <v>9</v>
      </c>
      <c r="AW405" s="2">
        <f t="shared" si="5161"/>
        <v>90</v>
      </c>
      <c r="AX405" s="2">
        <f t="shared" si="5161"/>
        <v>1</v>
      </c>
      <c r="AY405" s="2">
        <f t="shared" si="5161"/>
        <v>88</v>
      </c>
      <c r="AZ405" s="2">
        <f t="shared" si="5161"/>
        <v>3</v>
      </c>
      <c r="BA405" s="2">
        <f t="shared" si="5161"/>
        <v>87</v>
      </c>
      <c r="BB405" s="2">
        <f t="shared" si="5161"/>
        <v>45</v>
      </c>
      <c r="BC405" s="2">
        <f t="shared" si="5161"/>
        <v>93</v>
      </c>
      <c r="BD405" s="2">
        <f t="shared" si="5161"/>
        <v>17</v>
      </c>
      <c r="BE405" s="2">
        <f t="shared" si="5161"/>
        <v>93</v>
      </c>
      <c r="BF405" s="2">
        <f t="shared" si="5161"/>
        <v>49</v>
      </c>
      <c r="BG405" s="2">
        <f t="shared" si="5161"/>
        <v>93</v>
      </c>
      <c r="BH405" s="2">
        <f t="shared" si="5161"/>
        <v>-98</v>
      </c>
      <c r="BI405" s="2">
        <f t="shared" si="5161"/>
        <v>93</v>
      </c>
    </row>
    <row r="406" spans="3:61" x14ac:dyDescent="0.55000000000000004">
      <c r="C406" s="2" t="s">
        <v>488</v>
      </c>
      <c r="D406" s="2">
        <f>MIN(D$7:D$375)</f>
        <v>1</v>
      </c>
      <c r="E406" s="2">
        <f t="shared" ref="E406:BI406" si="5162">MIN(E$7:E$375)</f>
        <v>1</v>
      </c>
      <c r="F406" s="2">
        <f t="shared" si="5162"/>
        <v>0</v>
      </c>
      <c r="G406" s="2">
        <f t="shared" si="5162"/>
        <v>1</v>
      </c>
      <c r="H406" s="2">
        <f t="shared" si="5162"/>
        <v>9.0277777777777769E-3</v>
      </c>
      <c r="I406" s="2">
        <f t="shared" si="5162"/>
        <v>1</v>
      </c>
      <c r="J406" s="2">
        <f t="shared" si="5162"/>
        <v>9.0277777777777769E-3</v>
      </c>
      <c r="K406" s="2">
        <f t="shared" si="5162"/>
        <v>1</v>
      </c>
      <c r="L406" s="2">
        <f t="shared" si="5162"/>
        <v>0</v>
      </c>
      <c r="M406" s="2">
        <f t="shared" si="5162"/>
        <v>1</v>
      </c>
      <c r="N406" s="2">
        <f t="shared" si="5162"/>
        <v>0</v>
      </c>
      <c r="O406" s="2">
        <f t="shared" si="5162"/>
        <v>1</v>
      </c>
      <c r="P406" s="2">
        <f t="shared" si="5162"/>
        <v>0</v>
      </c>
      <c r="Q406" s="2">
        <f t="shared" si="5162"/>
        <v>1</v>
      </c>
      <c r="R406" s="2">
        <f t="shared" si="5162"/>
        <v>0</v>
      </c>
      <c r="S406" s="2">
        <f t="shared" si="5162"/>
        <v>1</v>
      </c>
      <c r="T406" s="2">
        <f t="shared" si="5162"/>
        <v>0</v>
      </c>
      <c r="U406" s="2">
        <f t="shared" si="5162"/>
        <v>1</v>
      </c>
      <c r="V406" s="2">
        <f t="shared" si="5162"/>
        <v>0</v>
      </c>
      <c r="W406" s="2">
        <f t="shared" si="5162"/>
        <v>1</v>
      </c>
      <c r="X406" s="2">
        <f t="shared" si="5162"/>
        <v>0</v>
      </c>
      <c r="Y406" s="2">
        <f t="shared" si="5162"/>
        <v>1</v>
      </c>
      <c r="Z406" s="2">
        <f t="shared" si="5162"/>
        <v>0</v>
      </c>
      <c r="AA406" s="2">
        <f t="shared" si="5162"/>
        <v>1</v>
      </c>
      <c r="AB406" s="2">
        <f t="shared" si="5162"/>
        <v>0</v>
      </c>
      <c r="AC406" s="2">
        <f t="shared" si="5162"/>
        <v>1</v>
      </c>
      <c r="AD406" s="2">
        <f t="shared" si="5162"/>
        <v>0</v>
      </c>
      <c r="AE406" s="2">
        <f t="shared" si="5162"/>
        <v>1</v>
      </c>
      <c r="AF406" s="2">
        <f t="shared" si="5162"/>
        <v>0</v>
      </c>
      <c r="AG406" s="2">
        <f t="shared" si="5162"/>
        <v>1</v>
      </c>
      <c r="AH406" s="2">
        <f t="shared" si="5162"/>
        <v>0</v>
      </c>
      <c r="AI406" s="2">
        <f t="shared" si="5162"/>
        <v>1</v>
      </c>
      <c r="AJ406" s="2">
        <f t="shared" si="5162"/>
        <v>0</v>
      </c>
      <c r="AK406" s="2">
        <f t="shared" si="5162"/>
        <v>1</v>
      </c>
      <c r="AL406" s="2">
        <f t="shared" si="5162"/>
        <v>0</v>
      </c>
      <c r="AM406" s="2">
        <f t="shared" si="5162"/>
        <v>1</v>
      </c>
      <c r="AN406" s="2">
        <f t="shared" si="5162"/>
        <v>0</v>
      </c>
      <c r="AO406" s="2">
        <f t="shared" si="5162"/>
        <v>1</v>
      </c>
      <c r="AP406" s="2">
        <f t="shared" si="5162"/>
        <v>0</v>
      </c>
      <c r="AQ406" s="2">
        <f t="shared" si="5162"/>
        <v>1</v>
      </c>
      <c r="AR406" s="2">
        <f t="shared" si="5162"/>
        <v>0</v>
      </c>
      <c r="AS406" s="2">
        <f t="shared" si="5162"/>
        <v>1</v>
      </c>
      <c r="AT406" s="2">
        <f t="shared" si="5162"/>
        <v>0</v>
      </c>
      <c r="AU406" s="2">
        <f t="shared" si="5162"/>
        <v>1</v>
      </c>
      <c r="AV406" s="2">
        <f t="shared" si="5162"/>
        <v>0</v>
      </c>
      <c r="AW406" s="2">
        <f t="shared" si="5162"/>
        <v>1</v>
      </c>
      <c r="AX406" s="2">
        <f t="shared" si="5162"/>
        <v>0</v>
      </c>
      <c r="AY406" s="2">
        <f t="shared" si="5162"/>
        <v>1</v>
      </c>
      <c r="AZ406" s="2">
        <f t="shared" si="5162"/>
        <v>0</v>
      </c>
      <c r="BA406" s="2">
        <f t="shared" si="5162"/>
        <v>1</v>
      </c>
      <c r="BB406" s="2">
        <f t="shared" si="5162"/>
        <v>0</v>
      </c>
      <c r="BC406" s="2">
        <f t="shared" si="5162"/>
        <v>1</v>
      </c>
      <c r="BD406" s="2">
        <f t="shared" si="5162"/>
        <v>0</v>
      </c>
      <c r="BE406" s="2">
        <f t="shared" si="5162"/>
        <v>1</v>
      </c>
      <c r="BF406" s="2">
        <f t="shared" si="5162"/>
        <v>-24</v>
      </c>
      <c r="BG406" s="2">
        <f t="shared" si="5162"/>
        <v>1</v>
      </c>
      <c r="BH406" s="2">
        <f t="shared" si="5162"/>
        <v>-562</v>
      </c>
      <c r="BI406" s="2">
        <f t="shared" si="5162"/>
        <v>1</v>
      </c>
    </row>
    <row r="407" spans="3:61" x14ac:dyDescent="0.55000000000000004">
      <c r="C407" s="12" t="s">
        <v>483</v>
      </c>
      <c r="D407" s="2">
        <f>AVERAGE(D$7:D$375)</f>
        <v>44.010840108401084</v>
      </c>
      <c r="E407" s="2">
        <f t="shared" ref="E407:BI407" si="5163">AVERAGE(E$7:E$375)</f>
        <v>176.82113821138211</v>
      </c>
      <c r="F407" s="2">
        <f t="shared" si="5163"/>
        <v>20.520325203252032</v>
      </c>
      <c r="G407" s="2">
        <f t="shared" si="5163"/>
        <v>174.0569105691057</v>
      </c>
      <c r="H407" s="2">
        <f t="shared" si="5163"/>
        <v>34.214961607949398</v>
      </c>
      <c r="I407" s="2">
        <f t="shared" si="5163"/>
        <v>184.99457994579944</v>
      </c>
      <c r="J407" s="2">
        <f t="shared" si="5163"/>
        <v>0.70262533875338651</v>
      </c>
      <c r="K407" s="2">
        <f t="shared" si="5163"/>
        <v>184.91598915989161</v>
      </c>
      <c r="L407" s="2">
        <f t="shared" si="5163"/>
        <v>331.36856368563684</v>
      </c>
      <c r="M407" s="2">
        <f t="shared" si="5163"/>
        <v>184.63143631436316</v>
      </c>
      <c r="N407" s="2">
        <f t="shared" si="5163"/>
        <v>119.92682926829268</v>
      </c>
      <c r="O407" s="2">
        <f t="shared" si="5163"/>
        <v>184.13821138211381</v>
      </c>
      <c r="P407" s="2">
        <f t="shared" si="5163"/>
        <v>267.25745257452576</v>
      </c>
      <c r="Q407" s="2">
        <f t="shared" si="5163"/>
        <v>184.69376693766938</v>
      </c>
      <c r="R407" s="2">
        <f t="shared" si="5163"/>
        <v>0.41078048780487819</v>
      </c>
      <c r="S407" s="2">
        <f t="shared" si="5163"/>
        <v>184.28997289972901</v>
      </c>
      <c r="T407" s="2">
        <f t="shared" si="5163"/>
        <v>80.628726287262879</v>
      </c>
      <c r="U407" s="2">
        <f t="shared" si="5163"/>
        <v>183.65040650406505</v>
      </c>
      <c r="V407" s="2">
        <f t="shared" si="5163"/>
        <v>150.78048780487805</v>
      </c>
      <c r="W407" s="2">
        <f t="shared" si="5163"/>
        <v>184.25474254742548</v>
      </c>
      <c r="X407" s="2">
        <f t="shared" si="5163"/>
        <v>0.48324390243902454</v>
      </c>
      <c r="Y407" s="2">
        <f t="shared" si="5163"/>
        <v>184.07859078590786</v>
      </c>
      <c r="Z407" s="2">
        <f t="shared" si="5163"/>
        <v>39.298102981029807</v>
      </c>
      <c r="AA407" s="2">
        <f t="shared" si="5163"/>
        <v>181.08672086720867</v>
      </c>
      <c r="AB407" s="2">
        <f t="shared" si="5163"/>
        <v>116.47696476964769</v>
      </c>
      <c r="AC407" s="2">
        <f t="shared" si="5163"/>
        <v>183.84010840108402</v>
      </c>
      <c r="AD407" s="2">
        <f t="shared" si="5163"/>
        <v>0.28972628726287258</v>
      </c>
      <c r="AE407" s="2">
        <f t="shared" si="5163"/>
        <v>181.97560975609755</v>
      </c>
      <c r="AF407" s="2">
        <f t="shared" si="5163"/>
        <v>52.21680216802168</v>
      </c>
      <c r="AG407" s="2">
        <f t="shared" si="5163"/>
        <v>182.33333333333334</v>
      </c>
      <c r="AH407" s="2">
        <f t="shared" si="5163"/>
        <v>71.300813008130078</v>
      </c>
      <c r="AI407" s="2">
        <f t="shared" si="5163"/>
        <v>182.97560975609755</v>
      </c>
      <c r="AJ407" s="2">
        <f t="shared" si="5163"/>
        <v>0.66576964769647751</v>
      </c>
      <c r="AK407" s="2">
        <f t="shared" si="5163"/>
        <v>182.58536585365854</v>
      </c>
      <c r="AL407" s="2">
        <f t="shared" si="5163"/>
        <v>38.728997289972902</v>
      </c>
      <c r="AM407" s="2">
        <f t="shared" si="5163"/>
        <v>182.32791327913279</v>
      </c>
      <c r="AN407" s="2">
        <f t="shared" si="5163"/>
        <v>93.970189701897013</v>
      </c>
      <c r="AO407" s="2">
        <f t="shared" si="5163"/>
        <v>183.87262872628727</v>
      </c>
      <c r="AP407" s="2">
        <f t="shared" si="5163"/>
        <v>132.69918699186991</v>
      </c>
      <c r="AQ407" s="2">
        <f t="shared" si="5163"/>
        <v>184.18970189701898</v>
      </c>
      <c r="AR407" s="2">
        <f t="shared" si="5163"/>
        <v>85.728997289972895</v>
      </c>
      <c r="AS407" s="2">
        <f t="shared" si="5163"/>
        <v>183.73170731707316</v>
      </c>
      <c r="AT407" s="2">
        <f t="shared" si="5163"/>
        <v>47.883468834688344</v>
      </c>
      <c r="AU407" s="2">
        <f t="shared" si="5163"/>
        <v>183.27642276422765</v>
      </c>
      <c r="AV407" s="2">
        <f t="shared" si="5163"/>
        <v>28.344173441734416</v>
      </c>
      <c r="AW407" s="2">
        <f t="shared" si="5163"/>
        <v>182.04336043360433</v>
      </c>
      <c r="AX407" s="2">
        <f t="shared" si="5163"/>
        <v>10.195121951219512</v>
      </c>
      <c r="AY407" s="2">
        <f t="shared" si="5163"/>
        <v>171.96205962059619</v>
      </c>
      <c r="AZ407" s="2">
        <f t="shared" si="5163"/>
        <v>10.197831978319783</v>
      </c>
      <c r="BA407" s="2">
        <f t="shared" si="5163"/>
        <v>177.04065040650406</v>
      </c>
      <c r="BB407" s="2">
        <f t="shared" si="5163"/>
        <v>80.176151761517616</v>
      </c>
      <c r="BC407" s="2">
        <f t="shared" si="5163"/>
        <v>183.85636856368563</v>
      </c>
      <c r="BD407" s="2">
        <f t="shared" si="5163"/>
        <v>79.121951219512198</v>
      </c>
      <c r="BE407" s="2">
        <f t="shared" si="5163"/>
        <v>183.70189701897019</v>
      </c>
      <c r="BF407" s="2">
        <f t="shared" si="5163"/>
        <v>362.36043360433604</v>
      </c>
      <c r="BG407" s="2">
        <f t="shared" si="5163"/>
        <v>184.69647696476966</v>
      </c>
      <c r="BH407" s="2">
        <f t="shared" si="5163"/>
        <v>3.4444444444444446</v>
      </c>
      <c r="BI407" s="2">
        <f t="shared" si="5163"/>
        <v>184.55826558265582</v>
      </c>
    </row>
  </sheetData>
  <autoFilter ref="A6:BH375" xr:uid="{25EA5278-FCFB-4C80-BC70-6A04F0CAF7F0}"/>
  <phoneticPr fontI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25a1188</cp:lastModifiedBy>
  <cp:lastPrinted>2026-06-05T04:01:24Z</cp:lastPrinted>
  <dcterms:created xsi:type="dcterms:W3CDTF">2026-06-03T00:58:51Z</dcterms:created>
  <dcterms:modified xsi:type="dcterms:W3CDTF">2026-06-05T05:29:44Z</dcterms:modified>
</cp:coreProperties>
</file>