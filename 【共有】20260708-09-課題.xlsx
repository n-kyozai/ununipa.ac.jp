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ukuharagakuen-my.sharepoint.com/personal/25a1188_m365_kyukyo-u_ac_jp/Documents/デスクトップ/11_情報処理演習Ⅱ/"/>
    </mc:Choice>
  </mc:AlternateContent>
  <xr:revisionPtr revIDLastSave="36" documentId="8_{500E46E1-B1B8-42BC-BA49-4D8D53CFECBD}" xr6:coauthVersionLast="47" xr6:coauthVersionMax="47" xr10:uidLastSave="{044FA3E7-263F-496F-B26D-FD743996AECA}"/>
  <bookViews>
    <workbookView xWindow="-110" yWindow="-110" windowWidth="19420" windowHeight="10300" xr2:uid="{B58E6988-29F3-4C5D-B9BD-AB822E0424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92" i="1" l="1"/>
  <c r="D92" i="1"/>
  <c r="E92" i="1"/>
  <c r="F92" i="1"/>
  <c r="G92" i="1"/>
  <c r="H92" i="1"/>
  <c r="I92" i="1"/>
  <c r="J92" i="1"/>
  <c r="K92" i="1"/>
  <c r="L92" i="1"/>
  <c r="C91" i="1"/>
  <c r="D91" i="1"/>
  <c r="E91" i="1"/>
  <c r="F91" i="1"/>
  <c r="G91" i="1"/>
  <c r="H91" i="1"/>
  <c r="I91" i="1"/>
  <c r="J91" i="1"/>
  <c r="K91" i="1"/>
  <c r="L91" i="1"/>
  <c r="C90" i="1"/>
  <c r="D90" i="1"/>
  <c r="E90" i="1"/>
  <c r="F90" i="1"/>
  <c r="G90" i="1"/>
  <c r="H90" i="1"/>
  <c r="I90" i="1"/>
  <c r="J90" i="1"/>
  <c r="K90" i="1"/>
  <c r="L90" i="1"/>
  <c r="C89" i="1"/>
  <c r="D89" i="1"/>
  <c r="E89" i="1"/>
  <c r="F89" i="1"/>
  <c r="G89" i="1"/>
  <c r="H89" i="1"/>
  <c r="I89" i="1"/>
  <c r="J89" i="1"/>
  <c r="K89" i="1"/>
  <c r="L89" i="1"/>
  <c r="C88" i="1"/>
  <c r="D88" i="1"/>
  <c r="E88" i="1"/>
  <c r="F88" i="1"/>
  <c r="G88" i="1"/>
  <c r="H88" i="1"/>
  <c r="I88" i="1"/>
  <c r="J88" i="1"/>
  <c r="K88" i="1"/>
  <c r="L88" i="1"/>
  <c r="C87" i="1"/>
  <c r="D87" i="1"/>
  <c r="E87" i="1"/>
  <c r="F87" i="1"/>
  <c r="G87" i="1"/>
  <c r="H87" i="1"/>
  <c r="I87" i="1"/>
  <c r="J87" i="1"/>
  <c r="K87" i="1"/>
  <c r="L87" i="1"/>
  <c r="C86" i="1"/>
  <c r="D86" i="1"/>
  <c r="E86" i="1"/>
  <c r="F86" i="1"/>
  <c r="G86" i="1"/>
  <c r="H86" i="1"/>
  <c r="I86" i="1"/>
  <c r="J86" i="1"/>
  <c r="K86" i="1"/>
  <c r="L86" i="1"/>
  <c r="C85" i="1"/>
  <c r="D85" i="1"/>
  <c r="E85" i="1"/>
  <c r="F85" i="1"/>
  <c r="G85" i="1"/>
  <c r="H85" i="1"/>
  <c r="I85" i="1"/>
  <c r="J85" i="1"/>
  <c r="K85" i="1"/>
  <c r="L85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22" i="1"/>
  <c r="D22" i="1"/>
  <c r="E22" i="1"/>
  <c r="F22" i="1"/>
  <c r="G22" i="1"/>
  <c r="H22" i="1"/>
  <c r="I22" i="1"/>
  <c r="J22" i="1"/>
  <c r="K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L22" i="1" l="1"/>
  <c r="L44" i="1"/>
  <c r="L45" i="1"/>
  <c r="L46" i="1"/>
  <c r="L47" i="1"/>
  <c r="L48" i="1"/>
  <c r="L49" i="1"/>
  <c r="L25" i="1"/>
  <c r="L23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26" i="1"/>
  <c r="L50" i="1"/>
  <c r="L27" i="1"/>
  <c r="L24" i="1"/>
  <c r="L51" i="1"/>
</calcChain>
</file>

<file path=xl/sharedStrings.xml><?xml version="1.0" encoding="utf-8"?>
<sst xmlns="http://schemas.openxmlformats.org/spreadsheetml/2006/main" count="59" uniqueCount="47">
  <si>
    <t>７月８日・７月９日の宿題</t>
    <rPh sb="1" eb="2">
      <t>ガツ</t>
    </rPh>
    <rPh sb="3" eb="4">
      <t>ニチ</t>
    </rPh>
    <rPh sb="6" eb="7">
      <t>ガツ</t>
    </rPh>
    <rPh sb="8" eb="9">
      <t>ニチ</t>
    </rPh>
    <rPh sb="10" eb="12">
      <t>シュクダイ</t>
    </rPh>
    <phoneticPr fontId="1"/>
  </si>
  <si>
    <t>提出締め切り：７月１５日または７月１６日（水曜の人と木曜の人で締め切りが異なります）</t>
    <rPh sb="0" eb="3">
      <t>テイシュツシ</t>
    </rPh>
    <rPh sb="4" eb="5">
      <t>キ</t>
    </rPh>
    <rPh sb="8" eb="9">
      <t>ガツ</t>
    </rPh>
    <rPh sb="11" eb="12">
      <t>ニチ</t>
    </rPh>
    <rPh sb="16" eb="17">
      <t>ガツ</t>
    </rPh>
    <rPh sb="19" eb="20">
      <t>ニチ</t>
    </rPh>
    <rPh sb="21" eb="23">
      <t>スイヨウ</t>
    </rPh>
    <rPh sb="24" eb="25">
      <t>ヒト</t>
    </rPh>
    <rPh sb="26" eb="28">
      <t>モクヨウ</t>
    </rPh>
    <rPh sb="29" eb="30">
      <t>ヒト</t>
    </rPh>
    <rPh sb="31" eb="32">
      <t>シ</t>
    </rPh>
    <rPh sb="33" eb="34">
      <t>キ</t>
    </rPh>
    <rPh sb="36" eb="37">
      <t>コト</t>
    </rPh>
    <phoneticPr fontId="1"/>
  </si>
  <si>
    <t>出席番号</t>
    <rPh sb="0" eb="4">
      <t>シュッセキバンゴウ</t>
    </rPh>
    <phoneticPr fontId="1"/>
  </si>
  <si>
    <t>国語</t>
    <rPh sb="0" eb="2">
      <t>コクゴ</t>
    </rPh>
    <phoneticPr fontId="1"/>
  </si>
  <si>
    <t>算数</t>
    <rPh sb="0" eb="2">
      <t>サンスウ</t>
    </rPh>
    <phoneticPr fontId="1"/>
  </si>
  <si>
    <t>社会</t>
    <rPh sb="0" eb="2">
      <t>シャカイ</t>
    </rPh>
    <phoneticPr fontId="1"/>
  </si>
  <si>
    <t>理科</t>
    <rPh sb="0" eb="2">
      <t>リカ</t>
    </rPh>
    <phoneticPr fontId="1"/>
  </si>
  <si>
    <t>外国語</t>
    <rPh sb="0" eb="3">
      <t>ガイコクゴ</t>
    </rPh>
    <phoneticPr fontId="1"/>
  </si>
  <si>
    <t>体育</t>
    <rPh sb="0" eb="2">
      <t>タイイク</t>
    </rPh>
    <phoneticPr fontId="1"/>
  </si>
  <si>
    <t>図画工作</t>
    <rPh sb="0" eb="4">
      <t>ズガコウサク</t>
    </rPh>
    <phoneticPr fontId="1"/>
  </si>
  <si>
    <t>音楽</t>
    <rPh sb="0" eb="2">
      <t>オンガク</t>
    </rPh>
    <phoneticPr fontId="1"/>
  </si>
  <si>
    <t>家庭科</t>
    <rPh sb="0" eb="3">
      <t>カテイカ</t>
    </rPh>
    <phoneticPr fontId="1"/>
  </si>
  <si>
    <t>道徳</t>
    <rPh sb="0" eb="2">
      <t>ドウトク</t>
    </rPh>
    <phoneticPr fontId="1"/>
  </si>
  <si>
    <t>・分散を求める（ここでは標本分散：var.s関数を使う）</t>
    <rPh sb="1" eb="3">
      <t>ブンサン</t>
    </rPh>
    <rPh sb="4" eb="5">
      <t>モト</t>
    </rPh>
    <rPh sb="12" eb="16">
      <t>ヒョウホンブンサン</t>
    </rPh>
    <rPh sb="22" eb="24">
      <t>カンスウ</t>
    </rPh>
    <rPh sb="25" eb="26">
      <t>ツカ</t>
    </rPh>
    <phoneticPr fontId="1"/>
  </si>
  <si>
    <t>・標準偏差を求める（ここでは標本標準偏差：stdev.s関数を使う）</t>
    <rPh sb="1" eb="5">
      <t>ヒョウジュンヘンサ</t>
    </rPh>
    <rPh sb="6" eb="7">
      <t>モト</t>
    </rPh>
    <rPh sb="14" eb="16">
      <t>ヒョウホン</t>
    </rPh>
    <rPh sb="16" eb="20">
      <t>ヒョウジュンヘンサ</t>
    </rPh>
    <rPh sb="28" eb="30">
      <t>カンスウ</t>
    </rPh>
    <rPh sb="31" eb="32">
      <t>ツカ</t>
    </rPh>
    <phoneticPr fontId="1"/>
  </si>
  <si>
    <t>・児童１人１人の平均点を求める</t>
    <rPh sb="1" eb="3">
      <t>ジドウ</t>
    </rPh>
    <rPh sb="4" eb="5">
      <t>ニン</t>
    </rPh>
    <rPh sb="6" eb="7">
      <t>ニン</t>
    </rPh>
    <rPh sb="8" eb="11">
      <t>ヘイキンテン</t>
    </rPh>
    <rPh sb="12" eb="13">
      <t>モト</t>
    </rPh>
    <phoneticPr fontId="1"/>
  </si>
  <si>
    <t>・平均点を求める</t>
    <rPh sb="1" eb="4">
      <t>ヘイキンテン</t>
    </rPh>
    <rPh sb="5" eb="6">
      <t>モト</t>
    </rPh>
    <phoneticPr fontId="1"/>
  </si>
  <si>
    <t>・各教科に対する５数要約（最大値・第３四分位・中央値・第１四分位・最小値）を求める</t>
    <rPh sb="1" eb="2">
      <t>カク</t>
    </rPh>
    <rPh sb="2" eb="4">
      <t>キョウカ</t>
    </rPh>
    <rPh sb="5" eb="6">
      <t>タイ</t>
    </rPh>
    <rPh sb="9" eb="12">
      <t>スウヨウヤク</t>
    </rPh>
    <rPh sb="13" eb="16">
      <t>サイダイチ</t>
    </rPh>
    <rPh sb="17" eb="18">
      <t>ダイ</t>
    </rPh>
    <rPh sb="19" eb="22">
      <t>シブンイ</t>
    </rPh>
    <rPh sb="23" eb="26">
      <t>チュウオウチ</t>
    </rPh>
    <rPh sb="27" eb="28">
      <t>ダイ</t>
    </rPh>
    <rPh sb="29" eb="32">
      <t>シブンイ</t>
    </rPh>
    <rPh sb="33" eb="36">
      <t>サイショウチ</t>
    </rPh>
    <rPh sb="38" eb="39">
      <t>モト</t>
    </rPh>
    <phoneticPr fontId="1"/>
  </si>
  <si>
    <t>・１０教科全体の５数要約を求める</t>
    <rPh sb="3" eb="5">
      <t>キョウカ</t>
    </rPh>
    <rPh sb="5" eb="7">
      <t>ゼンタイ</t>
    </rPh>
    <rPh sb="9" eb="12">
      <t>スウヨウヤク</t>
    </rPh>
    <rPh sb="13" eb="14">
      <t>モト</t>
    </rPh>
    <phoneticPr fontId="1"/>
  </si>
  <si>
    <t>平均点</t>
    <rPh sb="0" eb="3">
      <t>ヘイキンテン</t>
    </rPh>
    <phoneticPr fontId="1"/>
  </si>
  <si>
    <t>最大値</t>
    <rPh sb="0" eb="3">
      <t>サイダイチ</t>
    </rPh>
    <phoneticPr fontId="1"/>
  </si>
  <si>
    <t>第３四分位</t>
    <rPh sb="0" eb="1">
      <t>ダイ</t>
    </rPh>
    <rPh sb="2" eb="5">
      <t>シブンイ</t>
    </rPh>
    <phoneticPr fontId="1"/>
  </si>
  <si>
    <t>中央値</t>
    <rPh sb="0" eb="3">
      <t>チュウオウチ</t>
    </rPh>
    <phoneticPr fontId="1"/>
  </si>
  <si>
    <t>第１四分位</t>
    <rPh sb="0" eb="1">
      <t>ダイ</t>
    </rPh>
    <rPh sb="2" eb="5">
      <t>シブンイ</t>
    </rPh>
    <phoneticPr fontId="1"/>
  </si>
  <si>
    <t>最小値</t>
    <rPh sb="0" eb="3">
      <t>サイショウチ</t>
    </rPh>
    <phoneticPr fontId="1"/>
  </si>
  <si>
    <t>平均値</t>
    <rPh sb="0" eb="3">
      <t>ヘイキンチ</t>
    </rPh>
    <phoneticPr fontId="1"/>
  </si>
  <si>
    <t>分散</t>
    <rPh sb="0" eb="2">
      <t>ブンサン</t>
    </rPh>
    <phoneticPr fontId="1"/>
  </si>
  <si>
    <t>標準偏差</t>
    <rPh sb="0" eb="4">
      <t>ヒョウジュンヘンサ</t>
    </rPh>
    <phoneticPr fontId="1"/>
  </si>
  <si>
    <t>３０人学級の成績をrandbetween関数で作ってください。（全部で３００個の点数を作ることになります）</t>
    <rPh sb="2" eb="3">
      <t>ニン</t>
    </rPh>
    <rPh sb="3" eb="5">
      <t>ガッキュウ</t>
    </rPh>
    <rPh sb="6" eb="8">
      <t>セイセキ</t>
    </rPh>
    <rPh sb="20" eb="22">
      <t>カンスウ</t>
    </rPh>
    <rPh sb="23" eb="24">
      <t>ツク</t>
    </rPh>
    <rPh sb="32" eb="34">
      <t>ゼンブ</t>
    </rPh>
    <rPh sb="38" eb="39">
      <t>コ</t>
    </rPh>
    <rPh sb="40" eb="42">
      <t>テンスウ</t>
    </rPh>
    <rPh sb="43" eb="44">
      <t>ツク</t>
    </rPh>
    <phoneticPr fontId="1"/>
  </si>
  <si>
    <t>※　最小値を１０点、最大値を９９点で作成すること。</t>
    <rPh sb="2" eb="5">
      <t>サイショウチ</t>
    </rPh>
    <rPh sb="8" eb="9">
      <t>テン</t>
    </rPh>
    <rPh sb="10" eb="13">
      <t>サイダイチ</t>
    </rPh>
    <rPh sb="16" eb="17">
      <t>テン</t>
    </rPh>
    <rPh sb="18" eb="20">
      <t>サクセイ</t>
    </rPh>
    <phoneticPr fontId="1"/>
  </si>
  <si>
    <t>乱数で数値を作るので、乱数を発生させたあとに、数値が変化しないように固定してください。</t>
    <rPh sb="0" eb="2">
      <t>ランスウ</t>
    </rPh>
    <rPh sb="3" eb="5">
      <t>スウチ</t>
    </rPh>
    <rPh sb="6" eb="7">
      <t>ツク</t>
    </rPh>
    <rPh sb="11" eb="13">
      <t>ランスウ</t>
    </rPh>
    <rPh sb="14" eb="16">
      <t>ハッセイ</t>
    </rPh>
    <rPh sb="23" eb="25">
      <t>スウチ</t>
    </rPh>
    <rPh sb="26" eb="28">
      <t>ヘンカ</t>
    </rPh>
    <rPh sb="34" eb="36">
      <t>コテイ</t>
    </rPh>
    <phoneticPr fontId="1"/>
  </si>
  <si>
    <t>わからない人は、授業資料を参照しながら手続きしてください。</t>
    <rPh sb="5" eb="6">
      <t>ヒト</t>
    </rPh>
    <rPh sb="8" eb="10">
      <t>ジュギョウ</t>
    </rPh>
    <rPh sb="10" eb="12">
      <t>シリョウ</t>
    </rPh>
    <rPh sb="13" eb="15">
      <t>サンショウ</t>
    </rPh>
    <rPh sb="19" eb="21">
      <t>テツヅ</t>
    </rPh>
    <phoneticPr fontId="1"/>
  </si>
  <si>
    <t>★固定した数値を貼り付ける場所はB55～K84です。</t>
    <rPh sb="1" eb="3">
      <t>コテイ</t>
    </rPh>
    <rPh sb="5" eb="7">
      <t>スウチ</t>
    </rPh>
    <rPh sb="8" eb="9">
      <t>ハ</t>
    </rPh>
    <rPh sb="10" eb="11">
      <t>ツ</t>
    </rPh>
    <rPh sb="13" eb="15">
      <t>バショ</t>
    </rPh>
    <phoneticPr fontId="1"/>
  </si>
  <si>
    <t>【課題】全員の点数を作ったら、以下の手続きをしてください。</t>
    <rPh sb="1" eb="3">
      <t>カダイ</t>
    </rPh>
    <rPh sb="4" eb="6">
      <t>ゼンイン</t>
    </rPh>
    <rPh sb="7" eb="9">
      <t>テンスウ</t>
    </rPh>
    <rPh sb="10" eb="11">
      <t>ツク</t>
    </rPh>
    <rPh sb="15" eb="17">
      <t>イカ</t>
    </rPh>
    <rPh sb="18" eb="20">
      <t>テツヅ</t>
    </rPh>
    <phoneticPr fontId="1"/>
  </si>
  <si>
    <t>★乱数を発生させる場所はB22～K51です。</t>
    <rPh sb="1" eb="3">
      <t>ランスウ</t>
    </rPh>
    <rPh sb="4" eb="6">
      <t>ハッセイ</t>
    </rPh>
    <rPh sb="9" eb="11">
      <t>バショ</t>
    </rPh>
    <phoneticPr fontId="1"/>
  </si>
  <si>
    <t>=RANDBETWEEN(10,99)</t>
    <phoneticPr fontId="1"/>
  </si>
  <si>
    <t>上のセルを下へまるごとコピペ</t>
    <rPh sb="0" eb="1">
      <t>ウエ</t>
    </rPh>
    <rPh sb="5" eb="6">
      <t>シタ</t>
    </rPh>
    <phoneticPr fontId="1"/>
  </si>
  <si>
    <t>貼り付けのオプションで値を選択</t>
    <rPh sb="0" eb="1">
      <t>ハ</t>
    </rPh>
    <rPh sb="2" eb="3">
      <t>ツ</t>
    </rPh>
    <rPh sb="11" eb="12">
      <t>アタイ</t>
    </rPh>
    <rPh sb="13" eb="15">
      <t>セ</t>
    </rPh>
    <phoneticPr fontId="1"/>
  </si>
  <si>
    <t>これをすることでエンターキーを押すごとにランダムに数字が更新するのをストップできる。（値の固定）</t>
    <rPh sb="15" eb="16">
      <t>オ</t>
    </rPh>
    <rPh sb="25" eb="27">
      <t>スウジ</t>
    </rPh>
    <rPh sb="28" eb="30">
      <t>コウシン</t>
    </rPh>
    <rPh sb="43" eb="44">
      <t>アタイ</t>
    </rPh>
    <rPh sb="45" eb="47">
      <t>コテイ</t>
    </rPh>
    <phoneticPr fontId="1"/>
  </si>
  <si>
    <t>=STDEV.S(B55:B84)</t>
    <phoneticPr fontId="1"/>
  </si>
  <si>
    <t>=VAR.S(B55:B84)</t>
    <phoneticPr fontId="1"/>
  </si>
  <si>
    <t>=AVERAGE(B55:B84)</t>
    <phoneticPr fontId="1"/>
  </si>
  <si>
    <t>=MIN(B55:B84)</t>
    <phoneticPr fontId="1"/>
  </si>
  <si>
    <t>=QUARTILE(B55:B84,1)</t>
    <phoneticPr fontId="1"/>
  </si>
  <si>
    <t>=MEDIAN(B55:B84)</t>
    <phoneticPr fontId="1"/>
  </si>
  <si>
    <t>=QUARTILE(B55:B84,3)</t>
    <phoneticPr fontId="1"/>
  </si>
  <si>
    <t>=MAX(B55:B84)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</si>
</sst>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2" borderId="0" xfId="0" applyFill="1">
      <alignment vertical="center"/>
    </xf>
    <xf numFmtId="0" fontId="0" fillId="0" borderId="1" xfId="0" quotePrefix="1" applyBorder="1">
      <alignment vertical="center"/>
    </xf>
    <xf numFmtId="0" fontId="0" fillId="0" borderId="0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356490</xdr:colOff>
      <xdr:row>16</xdr:row>
      <xdr:rowOff>27850</xdr:rowOff>
    </xdr:from>
    <xdr:to>
      <xdr:col>9</xdr:col>
      <xdr:colOff>89123</xdr:colOff>
      <xdr:row>19</xdr:row>
      <xdr:rowOff>22279</xdr:rowOff>
    </xdr:to>
    <xdr:sp macro="" textlink="">
      <xdr:nvSpPr>
        <xdr:cNvPr id="2" name="吹き出し: 角を丸めた四角形 1">
          <a:extLst>
            <a:ext uri="{FF2B5EF4-FFF2-40B4-BE49-F238E27FC236}">
              <a16:creationId xmlns:a16="http://schemas.microsoft.com/office/drawing/2014/main" id="{900DB412-233C-297C-D73D-366B6D757EA9}"/>
            </a:ext>
          </a:extLst>
        </xdr:cNvPr>
        <xdr:cNvSpPr/>
      </xdr:nvSpPr>
      <xdr:spPr>
        <a:xfrm>
          <a:off x="2562279" y="3681885"/>
          <a:ext cx="3709739" cy="679561"/>
        </a:xfrm>
        <a:prstGeom prst="wedgeRoundRectCallout">
          <a:avLst>
            <a:gd name="adj1" fmla="val -84961"/>
            <a:gd name="adj2" fmla="val 126560"/>
            <a:gd name="adj3" fmla="val 16667"/>
          </a:avLst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B22</a:t>
          </a:r>
          <a:r>
            <a:rPr kumimoji="1" lang="ja-JP" altLang="en-US" sz="1100"/>
            <a:t>に　</a:t>
          </a:r>
          <a:r>
            <a:rPr kumimoji="1" lang="en-US" altLang="ja-JP" sz="1100"/>
            <a:t>=RANDBETWEEN(10,99)</a:t>
          </a:r>
          <a:r>
            <a:rPr kumimoji="1" lang="ja-JP" altLang="en-US" sz="1100"/>
            <a:t>　といれる</a:t>
          </a:r>
          <a:endParaRPr kumimoji="1" lang="en-US" altLang="ja-JP" sz="1100"/>
        </a:p>
        <a:p>
          <a:pPr algn="l"/>
          <a:r>
            <a:rPr kumimoji="1" lang="en-US" altLang="ja-JP" sz="1100"/>
            <a:t>B22</a:t>
          </a:r>
          <a:r>
            <a:rPr kumimoji="1" lang="ja-JP" altLang="en-US" sz="1100"/>
            <a:t>から、オートフィルで縦と横に拡大する</a:t>
          </a:r>
        </a:p>
      </xdr:txBody>
    </xdr:sp>
    <xdr:clientData/>
  </xdr:twoCellAnchor>
  <xdr:twoCellAnchor>
    <xdr:from>
      <xdr:col>12</xdr:col>
      <xdr:colOff>433812</xdr:colOff>
      <xdr:row>48</xdr:row>
      <xdr:rowOff>132030</xdr:rowOff>
    </xdr:from>
    <xdr:to>
      <xdr:col>14</xdr:col>
      <xdr:colOff>257772</xdr:colOff>
      <xdr:row>57</xdr:row>
      <xdr:rowOff>119456</xdr:rowOff>
    </xdr:to>
    <xdr:sp macro="" textlink="">
      <xdr:nvSpPr>
        <xdr:cNvPr id="3" name="矢印: 左カーブ 2">
          <a:extLst>
            <a:ext uri="{FF2B5EF4-FFF2-40B4-BE49-F238E27FC236}">
              <a16:creationId xmlns:a16="http://schemas.microsoft.com/office/drawing/2014/main" id="{05BC9866-FE33-3E15-4BB5-51223D9A7756}"/>
            </a:ext>
          </a:extLst>
        </xdr:cNvPr>
        <xdr:cNvSpPr/>
      </xdr:nvSpPr>
      <xdr:spPr>
        <a:xfrm>
          <a:off x="8575644" y="10996188"/>
          <a:ext cx="1144257" cy="2024456"/>
        </a:xfrm>
        <a:prstGeom prst="curvedLeftArrow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15</xdr:col>
      <xdr:colOff>117617</xdr:colOff>
      <xdr:row>55</xdr:row>
      <xdr:rowOff>123677</xdr:rowOff>
    </xdr:from>
    <xdr:to>
      <xdr:col>17</xdr:col>
      <xdr:colOff>239172</xdr:colOff>
      <xdr:row>65</xdr:row>
      <xdr:rowOff>212282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2A9E6E4B-861C-9342-96BF-C68F607B54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31824" y="12716826"/>
          <a:ext cx="1440401" cy="2378269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26C3A-1DDD-41A8-A2A7-38E971D154EB}">
  <dimension ref="A1:P92"/>
  <sheetViews>
    <sheetView tabSelected="1" zoomScale="101" zoomScaleNormal="175" workbookViewId="0">
      <selection activeCell="B86" sqref="B86"/>
    </sheetView>
  </sheetViews>
  <sheetFormatPr defaultRowHeight="18" x14ac:dyDescent="0.55000000000000004"/>
  <cols>
    <col min="1" max="1" width="11.58203125" customWidth="1"/>
    <col min="2" max="2" width="24.9140625" customWidth="1"/>
  </cols>
  <sheetData>
    <row r="1" spans="1:5" x14ac:dyDescent="0.55000000000000004">
      <c r="A1" t="s">
        <v>0</v>
      </c>
    </row>
    <row r="2" spans="1:5" x14ac:dyDescent="0.55000000000000004">
      <c r="A2" t="s">
        <v>1</v>
      </c>
    </row>
    <row r="4" spans="1:5" x14ac:dyDescent="0.55000000000000004">
      <c r="A4" t="s">
        <v>28</v>
      </c>
    </row>
    <row r="5" spans="1:5" x14ac:dyDescent="0.55000000000000004">
      <c r="A5" s="3" t="s">
        <v>29</v>
      </c>
      <c r="B5" s="3"/>
      <c r="C5" s="3"/>
      <c r="D5" s="3"/>
      <c r="E5" s="3"/>
    </row>
    <row r="6" spans="1:5" x14ac:dyDescent="0.55000000000000004">
      <c r="A6" s="3" t="s">
        <v>34</v>
      </c>
      <c r="B6" s="3"/>
      <c r="C6" s="3"/>
      <c r="D6" s="3"/>
      <c r="E6" s="3"/>
    </row>
    <row r="7" spans="1:5" x14ac:dyDescent="0.55000000000000004">
      <c r="A7" t="s">
        <v>30</v>
      </c>
    </row>
    <row r="8" spans="1:5" x14ac:dyDescent="0.55000000000000004">
      <c r="A8" s="3" t="s">
        <v>32</v>
      </c>
      <c r="B8" s="3"/>
      <c r="C8" s="3"/>
      <c r="D8" s="3"/>
      <c r="E8" s="3"/>
    </row>
    <row r="10" spans="1:5" x14ac:dyDescent="0.55000000000000004">
      <c r="A10" t="s">
        <v>31</v>
      </c>
    </row>
    <row r="12" spans="1:5" x14ac:dyDescent="0.55000000000000004">
      <c r="A12" t="s">
        <v>33</v>
      </c>
    </row>
    <row r="13" spans="1:5" x14ac:dyDescent="0.55000000000000004">
      <c r="A13" t="s">
        <v>17</v>
      </c>
    </row>
    <row r="14" spans="1:5" x14ac:dyDescent="0.55000000000000004">
      <c r="A14" t="s">
        <v>16</v>
      </c>
    </row>
    <row r="15" spans="1:5" x14ac:dyDescent="0.55000000000000004">
      <c r="A15" t="s">
        <v>13</v>
      </c>
    </row>
    <row r="16" spans="1:5" x14ac:dyDescent="0.55000000000000004">
      <c r="A16" t="s">
        <v>14</v>
      </c>
    </row>
    <row r="17" spans="1:12" x14ac:dyDescent="0.55000000000000004">
      <c r="A17" t="s">
        <v>15</v>
      </c>
    </row>
    <row r="18" spans="1:12" x14ac:dyDescent="0.55000000000000004">
      <c r="A18" t="s">
        <v>18</v>
      </c>
    </row>
    <row r="21" spans="1:12" x14ac:dyDescent="0.55000000000000004">
      <c r="A21" s="1" t="s">
        <v>2</v>
      </c>
      <c r="B21" s="1" t="s">
        <v>3</v>
      </c>
      <c r="C21" s="1" t="s">
        <v>4</v>
      </c>
      <c r="D21" s="1" t="s">
        <v>5</v>
      </c>
      <c r="E21" s="1" t="s">
        <v>6</v>
      </c>
      <c r="F21" s="1" t="s">
        <v>7</v>
      </c>
      <c r="G21" s="1" t="s">
        <v>8</v>
      </c>
      <c r="H21" s="1" t="s">
        <v>9</v>
      </c>
      <c r="I21" s="1" t="s">
        <v>10</v>
      </c>
      <c r="J21" s="1" t="s">
        <v>11</v>
      </c>
      <c r="K21" s="1" t="s">
        <v>12</v>
      </c>
      <c r="L21" s="1" t="s">
        <v>19</v>
      </c>
    </row>
    <row r="22" spans="1:12" x14ac:dyDescent="0.55000000000000004">
      <c r="A22" s="2">
        <v>1</v>
      </c>
      <c r="B22" s="4" t="s">
        <v>35</v>
      </c>
      <c r="C22" s="1">
        <f t="shared" ref="C22:K37" ca="1" si="0">RANDBETWEEN(10,99)</f>
        <v>85</v>
      </c>
      <c r="D22" s="1">
        <f t="shared" ca="1" si="0"/>
        <v>85</v>
      </c>
      <c r="E22" s="1">
        <f t="shared" ca="1" si="0"/>
        <v>99</v>
      </c>
      <c r="F22" s="1">
        <f t="shared" ca="1" si="0"/>
        <v>44</v>
      </c>
      <c r="G22" s="1">
        <f t="shared" ca="1" si="0"/>
        <v>16</v>
      </c>
      <c r="H22" s="1">
        <f t="shared" ca="1" si="0"/>
        <v>68</v>
      </c>
      <c r="I22" s="1">
        <f t="shared" ca="1" si="0"/>
        <v>57</v>
      </c>
      <c r="J22" s="1">
        <f t="shared" ca="1" si="0"/>
        <v>15</v>
      </c>
      <c r="K22" s="1">
        <f t="shared" ca="1" si="0"/>
        <v>57</v>
      </c>
      <c r="L22" s="1">
        <f ca="1">AVERAGE(B22:K22)</f>
        <v>58.444444444444443</v>
      </c>
    </row>
    <row r="23" spans="1:12" x14ac:dyDescent="0.55000000000000004">
      <c r="A23" s="2">
        <v>2</v>
      </c>
      <c r="B23" s="1">
        <f t="shared" ref="B23:K51" ca="1" si="1">RANDBETWEEN(10,99)</f>
        <v>12</v>
      </c>
      <c r="C23" s="1">
        <f t="shared" ca="1" si="0"/>
        <v>39</v>
      </c>
      <c r="D23" s="1">
        <f t="shared" ca="1" si="0"/>
        <v>87</v>
      </c>
      <c r="E23" s="1">
        <f t="shared" ca="1" si="0"/>
        <v>28</v>
      </c>
      <c r="F23" s="1">
        <f t="shared" ca="1" si="0"/>
        <v>63</v>
      </c>
      <c r="G23" s="1">
        <f t="shared" ca="1" si="0"/>
        <v>35</v>
      </c>
      <c r="H23" s="1">
        <f t="shared" ca="1" si="0"/>
        <v>77</v>
      </c>
      <c r="I23" s="1">
        <f t="shared" ca="1" si="0"/>
        <v>13</v>
      </c>
      <c r="J23" s="1">
        <f t="shared" ca="1" si="0"/>
        <v>25</v>
      </c>
      <c r="K23" s="1">
        <f t="shared" ca="1" si="0"/>
        <v>21</v>
      </c>
      <c r="L23" s="1">
        <f t="shared" ref="L23:L51" ca="1" si="2">AVERAGE(B23:K23)</f>
        <v>40</v>
      </c>
    </row>
    <row r="24" spans="1:12" x14ac:dyDescent="0.55000000000000004">
      <c r="A24" s="2">
        <v>3</v>
      </c>
      <c r="B24" s="1">
        <f t="shared" ca="1" si="1"/>
        <v>34</v>
      </c>
      <c r="C24" s="1">
        <f t="shared" ca="1" si="0"/>
        <v>73</v>
      </c>
      <c r="D24" s="1">
        <f t="shared" ca="1" si="0"/>
        <v>90</v>
      </c>
      <c r="E24" s="1">
        <f t="shared" ca="1" si="0"/>
        <v>11</v>
      </c>
      <c r="F24" s="1">
        <f t="shared" ca="1" si="0"/>
        <v>44</v>
      </c>
      <c r="G24" s="1">
        <f t="shared" ca="1" si="0"/>
        <v>86</v>
      </c>
      <c r="H24" s="1">
        <f t="shared" ca="1" si="0"/>
        <v>52</v>
      </c>
      <c r="I24" s="1">
        <f t="shared" ca="1" si="0"/>
        <v>38</v>
      </c>
      <c r="J24" s="1">
        <f t="shared" ca="1" si="0"/>
        <v>76</v>
      </c>
      <c r="K24" s="1">
        <f t="shared" ca="1" si="0"/>
        <v>23</v>
      </c>
      <c r="L24" s="1">
        <f t="shared" ca="1" si="2"/>
        <v>52.7</v>
      </c>
    </row>
    <row r="25" spans="1:12" x14ac:dyDescent="0.55000000000000004">
      <c r="A25" s="2">
        <v>4</v>
      </c>
      <c r="B25" s="1">
        <f t="shared" ca="1" si="1"/>
        <v>54</v>
      </c>
      <c r="C25" s="1">
        <f t="shared" ca="1" si="0"/>
        <v>54</v>
      </c>
      <c r="D25" s="1">
        <f t="shared" ca="1" si="0"/>
        <v>38</v>
      </c>
      <c r="E25" s="1">
        <f t="shared" ca="1" si="0"/>
        <v>10</v>
      </c>
      <c r="F25" s="1">
        <f t="shared" ca="1" si="0"/>
        <v>24</v>
      </c>
      <c r="G25" s="1">
        <f t="shared" ca="1" si="0"/>
        <v>59</v>
      </c>
      <c r="H25" s="1">
        <f t="shared" ca="1" si="0"/>
        <v>71</v>
      </c>
      <c r="I25" s="1">
        <f t="shared" ca="1" si="0"/>
        <v>69</v>
      </c>
      <c r="J25" s="1">
        <f t="shared" ca="1" si="0"/>
        <v>58</v>
      </c>
      <c r="K25" s="1">
        <f t="shared" ca="1" si="0"/>
        <v>62</v>
      </c>
      <c r="L25" s="1">
        <f t="shared" ca="1" si="2"/>
        <v>49.9</v>
      </c>
    </row>
    <row r="26" spans="1:12" x14ac:dyDescent="0.55000000000000004">
      <c r="A26" s="2">
        <v>5</v>
      </c>
      <c r="B26" s="1">
        <f t="shared" ca="1" si="1"/>
        <v>93</v>
      </c>
      <c r="C26" s="1">
        <f t="shared" ca="1" si="0"/>
        <v>89</v>
      </c>
      <c r="D26" s="1">
        <f t="shared" ca="1" si="0"/>
        <v>67</v>
      </c>
      <c r="E26" s="1">
        <f t="shared" ca="1" si="0"/>
        <v>64</v>
      </c>
      <c r="F26" s="1">
        <f t="shared" ca="1" si="0"/>
        <v>48</v>
      </c>
      <c r="G26" s="1">
        <f t="shared" ca="1" si="0"/>
        <v>46</v>
      </c>
      <c r="H26" s="1">
        <f t="shared" ca="1" si="0"/>
        <v>91</v>
      </c>
      <c r="I26" s="1">
        <f t="shared" ca="1" si="0"/>
        <v>86</v>
      </c>
      <c r="J26" s="1">
        <f t="shared" ca="1" si="0"/>
        <v>32</v>
      </c>
      <c r="K26" s="1">
        <f t="shared" ca="1" si="0"/>
        <v>53</v>
      </c>
      <c r="L26" s="1">
        <f t="shared" ca="1" si="2"/>
        <v>66.900000000000006</v>
      </c>
    </row>
    <row r="27" spans="1:12" x14ac:dyDescent="0.55000000000000004">
      <c r="A27" s="2">
        <v>6</v>
      </c>
      <c r="B27" s="1">
        <f t="shared" ca="1" si="1"/>
        <v>30</v>
      </c>
      <c r="C27" s="1">
        <f t="shared" ca="1" si="0"/>
        <v>56</v>
      </c>
      <c r="D27" s="1">
        <f t="shared" ca="1" si="0"/>
        <v>92</v>
      </c>
      <c r="E27" s="1">
        <f t="shared" ca="1" si="0"/>
        <v>82</v>
      </c>
      <c r="F27" s="1">
        <f t="shared" ca="1" si="0"/>
        <v>85</v>
      </c>
      <c r="G27" s="1">
        <f t="shared" ca="1" si="0"/>
        <v>55</v>
      </c>
      <c r="H27" s="1">
        <f t="shared" ca="1" si="0"/>
        <v>46</v>
      </c>
      <c r="I27" s="1">
        <f t="shared" ca="1" si="0"/>
        <v>98</v>
      </c>
      <c r="J27" s="1">
        <f t="shared" ca="1" si="0"/>
        <v>43</v>
      </c>
      <c r="K27" s="1">
        <f t="shared" ca="1" si="0"/>
        <v>85</v>
      </c>
      <c r="L27" s="1">
        <f t="shared" ca="1" si="2"/>
        <v>67.2</v>
      </c>
    </row>
    <row r="28" spans="1:12" x14ac:dyDescent="0.55000000000000004">
      <c r="A28" s="2">
        <v>7</v>
      </c>
      <c r="B28" s="1">
        <f t="shared" ca="1" si="1"/>
        <v>67</v>
      </c>
      <c r="C28" s="1">
        <f t="shared" ca="1" si="0"/>
        <v>47</v>
      </c>
      <c r="D28" s="1">
        <f t="shared" ca="1" si="0"/>
        <v>66</v>
      </c>
      <c r="E28" s="1">
        <f t="shared" ca="1" si="0"/>
        <v>64</v>
      </c>
      <c r="F28" s="1">
        <f t="shared" ca="1" si="0"/>
        <v>99</v>
      </c>
      <c r="G28" s="1">
        <f t="shared" ca="1" si="0"/>
        <v>33</v>
      </c>
      <c r="H28" s="1">
        <f t="shared" ca="1" si="0"/>
        <v>81</v>
      </c>
      <c r="I28" s="1">
        <f t="shared" ca="1" si="0"/>
        <v>51</v>
      </c>
      <c r="J28" s="1">
        <f t="shared" ca="1" si="0"/>
        <v>74</v>
      </c>
      <c r="K28" s="1">
        <f t="shared" ca="1" si="0"/>
        <v>72</v>
      </c>
      <c r="L28" s="1">
        <f t="shared" ca="1" si="2"/>
        <v>65.400000000000006</v>
      </c>
    </row>
    <row r="29" spans="1:12" x14ac:dyDescent="0.55000000000000004">
      <c r="A29" s="2">
        <v>8</v>
      </c>
      <c r="B29" s="1">
        <f t="shared" ca="1" si="1"/>
        <v>51</v>
      </c>
      <c r="C29" s="1">
        <f t="shared" ca="1" si="0"/>
        <v>41</v>
      </c>
      <c r="D29" s="1">
        <f t="shared" ca="1" si="0"/>
        <v>83</v>
      </c>
      <c r="E29" s="1">
        <f t="shared" ca="1" si="0"/>
        <v>30</v>
      </c>
      <c r="F29" s="1">
        <f t="shared" ca="1" si="0"/>
        <v>59</v>
      </c>
      <c r="G29" s="1">
        <f t="shared" ca="1" si="0"/>
        <v>66</v>
      </c>
      <c r="H29" s="1">
        <f t="shared" ca="1" si="0"/>
        <v>22</v>
      </c>
      <c r="I29" s="1">
        <f t="shared" ca="1" si="0"/>
        <v>97</v>
      </c>
      <c r="J29" s="1">
        <f t="shared" ca="1" si="0"/>
        <v>41</v>
      </c>
      <c r="K29" s="1">
        <f t="shared" ca="1" si="0"/>
        <v>97</v>
      </c>
      <c r="L29" s="1">
        <f t="shared" ca="1" si="2"/>
        <v>58.7</v>
      </c>
    </row>
    <row r="30" spans="1:12" x14ac:dyDescent="0.55000000000000004">
      <c r="A30" s="2">
        <v>9</v>
      </c>
      <c r="B30" s="1">
        <f t="shared" ca="1" si="1"/>
        <v>69</v>
      </c>
      <c r="C30" s="1">
        <f t="shared" ca="1" si="0"/>
        <v>42</v>
      </c>
      <c r="D30" s="1">
        <f t="shared" ca="1" si="0"/>
        <v>27</v>
      </c>
      <c r="E30" s="1">
        <f t="shared" ca="1" si="0"/>
        <v>64</v>
      </c>
      <c r="F30" s="1">
        <f t="shared" ca="1" si="0"/>
        <v>72</v>
      </c>
      <c r="G30" s="1">
        <f t="shared" ca="1" si="0"/>
        <v>24</v>
      </c>
      <c r="H30" s="1">
        <f t="shared" ca="1" si="0"/>
        <v>36</v>
      </c>
      <c r="I30" s="1">
        <f t="shared" ca="1" si="0"/>
        <v>44</v>
      </c>
      <c r="J30" s="1">
        <f t="shared" ca="1" si="0"/>
        <v>53</v>
      </c>
      <c r="K30" s="1">
        <f t="shared" ca="1" si="0"/>
        <v>55</v>
      </c>
      <c r="L30" s="1">
        <f t="shared" ca="1" si="2"/>
        <v>48.6</v>
      </c>
    </row>
    <row r="31" spans="1:12" x14ac:dyDescent="0.55000000000000004">
      <c r="A31" s="2">
        <v>10</v>
      </c>
      <c r="B31" s="1">
        <f t="shared" ca="1" si="1"/>
        <v>55</v>
      </c>
      <c r="C31" s="1">
        <f t="shared" ca="1" si="0"/>
        <v>99</v>
      </c>
      <c r="D31" s="1">
        <f t="shared" ca="1" si="0"/>
        <v>62</v>
      </c>
      <c r="E31" s="1">
        <f t="shared" ca="1" si="0"/>
        <v>63</v>
      </c>
      <c r="F31" s="1">
        <f t="shared" ca="1" si="0"/>
        <v>81</v>
      </c>
      <c r="G31" s="1">
        <f t="shared" ca="1" si="0"/>
        <v>47</v>
      </c>
      <c r="H31" s="1">
        <f t="shared" ca="1" si="0"/>
        <v>81</v>
      </c>
      <c r="I31" s="1">
        <f t="shared" ca="1" si="0"/>
        <v>88</v>
      </c>
      <c r="J31" s="1">
        <f t="shared" ca="1" si="0"/>
        <v>34</v>
      </c>
      <c r="K31" s="1">
        <f t="shared" ca="1" si="0"/>
        <v>69</v>
      </c>
      <c r="L31" s="1">
        <f t="shared" ca="1" si="2"/>
        <v>67.900000000000006</v>
      </c>
    </row>
    <row r="32" spans="1:12" x14ac:dyDescent="0.55000000000000004">
      <c r="A32" s="2">
        <v>11</v>
      </c>
      <c r="B32" s="1">
        <f t="shared" ca="1" si="1"/>
        <v>82</v>
      </c>
      <c r="C32" s="1">
        <f t="shared" ca="1" si="0"/>
        <v>33</v>
      </c>
      <c r="D32" s="1">
        <f t="shared" ca="1" si="0"/>
        <v>15</v>
      </c>
      <c r="E32" s="1">
        <f t="shared" ca="1" si="0"/>
        <v>38</v>
      </c>
      <c r="F32" s="1">
        <f t="shared" ca="1" si="0"/>
        <v>78</v>
      </c>
      <c r="G32" s="1">
        <f t="shared" ca="1" si="0"/>
        <v>41</v>
      </c>
      <c r="H32" s="1">
        <f t="shared" ca="1" si="0"/>
        <v>87</v>
      </c>
      <c r="I32" s="1">
        <f t="shared" ca="1" si="0"/>
        <v>63</v>
      </c>
      <c r="J32" s="1">
        <f t="shared" ca="1" si="0"/>
        <v>46</v>
      </c>
      <c r="K32" s="1">
        <f t="shared" ca="1" si="0"/>
        <v>16</v>
      </c>
      <c r="L32" s="1">
        <f t="shared" ca="1" si="2"/>
        <v>49.9</v>
      </c>
    </row>
    <row r="33" spans="1:12" x14ac:dyDescent="0.55000000000000004">
      <c r="A33" s="2">
        <v>12</v>
      </c>
      <c r="B33" s="1">
        <f t="shared" ca="1" si="1"/>
        <v>89</v>
      </c>
      <c r="C33" s="1">
        <f t="shared" ca="1" si="0"/>
        <v>89</v>
      </c>
      <c r="D33" s="1">
        <f t="shared" ca="1" si="0"/>
        <v>65</v>
      </c>
      <c r="E33" s="1">
        <f t="shared" ca="1" si="0"/>
        <v>87</v>
      </c>
      <c r="F33" s="1">
        <f t="shared" ca="1" si="0"/>
        <v>28</v>
      </c>
      <c r="G33" s="1">
        <f t="shared" ca="1" si="0"/>
        <v>41</v>
      </c>
      <c r="H33" s="1">
        <f t="shared" ca="1" si="0"/>
        <v>17</v>
      </c>
      <c r="I33" s="1">
        <f t="shared" ca="1" si="0"/>
        <v>43</v>
      </c>
      <c r="J33" s="1">
        <f t="shared" ca="1" si="0"/>
        <v>77</v>
      </c>
      <c r="K33" s="1">
        <f t="shared" ca="1" si="0"/>
        <v>94</v>
      </c>
      <c r="L33" s="1">
        <f t="shared" ca="1" si="2"/>
        <v>63</v>
      </c>
    </row>
    <row r="34" spans="1:12" x14ac:dyDescent="0.55000000000000004">
      <c r="A34" s="2">
        <v>13</v>
      </c>
      <c r="B34" s="1">
        <f t="shared" ca="1" si="1"/>
        <v>34</v>
      </c>
      <c r="C34" s="1">
        <f t="shared" ca="1" si="0"/>
        <v>58</v>
      </c>
      <c r="D34" s="1">
        <f t="shared" ca="1" si="0"/>
        <v>63</v>
      </c>
      <c r="E34" s="1">
        <f t="shared" ca="1" si="0"/>
        <v>53</v>
      </c>
      <c r="F34" s="1">
        <f t="shared" ca="1" si="0"/>
        <v>74</v>
      </c>
      <c r="G34" s="1">
        <f t="shared" ca="1" si="0"/>
        <v>41</v>
      </c>
      <c r="H34" s="1">
        <f t="shared" ca="1" si="0"/>
        <v>49</v>
      </c>
      <c r="I34" s="1">
        <f t="shared" ca="1" si="0"/>
        <v>38</v>
      </c>
      <c r="J34" s="1">
        <f t="shared" ca="1" si="0"/>
        <v>40</v>
      </c>
      <c r="K34" s="1">
        <f t="shared" ca="1" si="0"/>
        <v>68</v>
      </c>
      <c r="L34" s="1">
        <f t="shared" ca="1" si="2"/>
        <v>51.8</v>
      </c>
    </row>
    <row r="35" spans="1:12" x14ac:dyDescent="0.55000000000000004">
      <c r="A35" s="2">
        <v>14</v>
      </c>
      <c r="B35" s="1">
        <f t="shared" ca="1" si="1"/>
        <v>81</v>
      </c>
      <c r="C35" s="1">
        <f t="shared" ca="1" si="0"/>
        <v>67</v>
      </c>
      <c r="D35" s="1">
        <f t="shared" ca="1" si="0"/>
        <v>43</v>
      </c>
      <c r="E35" s="1">
        <f t="shared" ca="1" si="0"/>
        <v>84</v>
      </c>
      <c r="F35" s="1">
        <f t="shared" ca="1" si="0"/>
        <v>27</v>
      </c>
      <c r="G35" s="1">
        <f t="shared" ca="1" si="0"/>
        <v>53</v>
      </c>
      <c r="H35" s="1">
        <f t="shared" ca="1" si="0"/>
        <v>11</v>
      </c>
      <c r="I35" s="1">
        <f t="shared" ca="1" si="0"/>
        <v>64</v>
      </c>
      <c r="J35" s="1">
        <f t="shared" ca="1" si="0"/>
        <v>10</v>
      </c>
      <c r="K35" s="1">
        <f t="shared" ca="1" si="0"/>
        <v>40</v>
      </c>
      <c r="L35" s="1">
        <f t="shared" ca="1" si="2"/>
        <v>48</v>
      </c>
    </row>
    <row r="36" spans="1:12" x14ac:dyDescent="0.55000000000000004">
      <c r="A36" s="2">
        <v>15</v>
      </c>
      <c r="B36" s="1">
        <f t="shared" ca="1" si="1"/>
        <v>93</v>
      </c>
      <c r="C36" s="1">
        <f t="shared" ca="1" si="0"/>
        <v>25</v>
      </c>
      <c r="D36" s="1">
        <f t="shared" ca="1" si="0"/>
        <v>84</v>
      </c>
      <c r="E36" s="1">
        <f t="shared" ca="1" si="0"/>
        <v>55</v>
      </c>
      <c r="F36" s="1">
        <f t="shared" ca="1" si="0"/>
        <v>65</v>
      </c>
      <c r="G36" s="1">
        <f t="shared" ca="1" si="0"/>
        <v>89</v>
      </c>
      <c r="H36" s="1">
        <f t="shared" ca="1" si="0"/>
        <v>29</v>
      </c>
      <c r="I36" s="1">
        <f t="shared" ca="1" si="0"/>
        <v>78</v>
      </c>
      <c r="J36" s="1">
        <f t="shared" ca="1" si="0"/>
        <v>53</v>
      </c>
      <c r="K36" s="1">
        <f t="shared" ca="1" si="0"/>
        <v>55</v>
      </c>
      <c r="L36" s="1">
        <f t="shared" ca="1" si="2"/>
        <v>62.6</v>
      </c>
    </row>
    <row r="37" spans="1:12" x14ac:dyDescent="0.55000000000000004">
      <c r="A37" s="2">
        <v>16</v>
      </c>
      <c r="B37" s="1">
        <f t="shared" ca="1" si="1"/>
        <v>57</v>
      </c>
      <c r="C37" s="1">
        <f t="shared" ca="1" si="0"/>
        <v>50</v>
      </c>
      <c r="D37" s="1">
        <f t="shared" ca="1" si="0"/>
        <v>46</v>
      </c>
      <c r="E37" s="1">
        <f t="shared" ca="1" si="0"/>
        <v>54</v>
      </c>
      <c r="F37" s="1">
        <f t="shared" ca="1" si="0"/>
        <v>15</v>
      </c>
      <c r="G37" s="1">
        <f t="shared" ca="1" si="0"/>
        <v>91</v>
      </c>
      <c r="H37" s="1">
        <f t="shared" ca="1" si="0"/>
        <v>77</v>
      </c>
      <c r="I37" s="1">
        <f t="shared" ca="1" si="0"/>
        <v>23</v>
      </c>
      <c r="J37" s="1">
        <f t="shared" ca="1" si="0"/>
        <v>83</v>
      </c>
      <c r="K37" s="1">
        <f t="shared" ca="1" si="0"/>
        <v>52</v>
      </c>
      <c r="L37" s="1">
        <f t="shared" ca="1" si="2"/>
        <v>54.8</v>
      </c>
    </row>
    <row r="38" spans="1:12" x14ac:dyDescent="0.55000000000000004">
      <c r="A38" s="2">
        <v>17</v>
      </c>
      <c r="B38" s="1">
        <f t="shared" ca="1" si="1"/>
        <v>89</v>
      </c>
      <c r="C38" s="1">
        <f t="shared" ca="1" si="1"/>
        <v>73</v>
      </c>
      <c r="D38" s="1">
        <f t="shared" ca="1" si="1"/>
        <v>64</v>
      </c>
      <c r="E38" s="1">
        <f t="shared" ca="1" si="1"/>
        <v>49</v>
      </c>
      <c r="F38" s="1">
        <f t="shared" ca="1" si="1"/>
        <v>42</v>
      </c>
      <c r="G38" s="1">
        <f t="shared" ca="1" si="1"/>
        <v>43</v>
      </c>
      <c r="H38" s="1">
        <f t="shared" ca="1" si="1"/>
        <v>36</v>
      </c>
      <c r="I38" s="1">
        <f t="shared" ca="1" si="1"/>
        <v>96</v>
      </c>
      <c r="J38" s="1">
        <f t="shared" ca="1" si="1"/>
        <v>95</v>
      </c>
      <c r="K38" s="1">
        <f t="shared" ca="1" si="1"/>
        <v>78</v>
      </c>
      <c r="L38" s="1">
        <f t="shared" ca="1" si="2"/>
        <v>66.5</v>
      </c>
    </row>
    <row r="39" spans="1:12" x14ac:dyDescent="0.55000000000000004">
      <c r="A39" s="2">
        <v>18</v>
      </c>
      <c r="B39" s="1">
        <f t="shared" ca="1" si="1"/>
        <v>82</v>
      </c>
      <c r="C39" s="1">
        <f t="shared" ca="1" si="1"/>
        <v>69</v>
      </c>
      <c r="D39" s="1">
        <f t="shared" ca="1" si="1"/>
        <v>83</v>
      </c>
      <c r="E39" s="1">
        <f t="shared" ca="1" si="1"/>
        <v>25</v>
      </c>
      <c r="F39" s="1">
        <f t="shared" ca="1" si="1"/>
        <v>99</v>
      </c>
      <c r="G39" s="1">
        <f t="shared" ca="1" si="1"/>
        <v>37</v>
      </c>
      <c r="H39" s="1">
        <f t="shared" ca="1" si="1"/>
        <v>70</v>
      </c>
      <c r="I39" s="1">
        <f t="shared" ca="1" si="1"/>
        <v>91</v>
      </c>
      <c r="J39" s="1">
        <f t="shared" ca="1" si="1"/>
        <v>61</v>
      </c>
      <c r="K39" s="1">
        <f t="shared" ca="1" si="1"/>
        <v>73</v>
      </c>
      <c r="L39" s="1">
        <f t="shared" ca="1" si="2"/>
        <v>69</v>
      </c>
    </row>
    <row r="40" spans="1:12" x14ac:dyDescent="0.55000000000000004">
      <c r="A40" s="2">
        <v>19</v>
      </c>
      <c r="B40" s="1">
        <f t="shared" ca="1" si="1"/>
        <v>64</v>
      </c>
      <c r="C40" s="1">
        <f t="shared" ca="1" si="1"/>
        <v>98</v>
      </c>
      <c r="D40" s="1">
        <f t="shared" ca="1" si="1"/>
        <v>76</v>
      </c>
      <c r="E40" s="1">
        <f t="shared" ca="1" si="1"/>
        <v>73</v>
      </c>
      <c r="F40" s="1">
        <f t="shared" ca="1" si="1"/>
        <v>77</v>
      </c>
      <c r="G40" s="1">
        <f t="shared" ca="1" si="1"/>
        <v>88</v>
      </c>
      <c r="H40" s="1">
        <f t="shared" ca="1" si="1"/>
        <v>97</v>
      </c>
      <c r="I40" s="1">
        <f t="shared" ca="1" si="1"/>
        <v>46</v>
      </c>
      <c r="J40" s="1">
        <f t="shared" ca="1" si="1"/>
        <v>43</v>
      </c>
      <c r="K40" s="1">
        <f t="shared" ca="1" si="1"/>
        <v>15</v>
      </c>
      <c r="L40" s="1">
        <f t="shared" ca="1" si="2"/>
        <v>67.7</v>
      </c>
    </row>
    <row r="41" spans="1:12" x14ac:dyDescent="0.55000000000000004">
      <c r="A41" s="2">
        <v>20</v>
      </c>
      <c r="B41" s="1">
        <f t="shared" ca="1" si="1"/>
        <v>16</v>
      </c>
      <c r="C41" s="1">
        <f t="shared" ca="1" si="1"/>
        <v>44</v>
      </c>
      <c r="D41" s="1">
        <f t="shared" ca="1" si="1"/>
        <v>70</v>
      </c>
      <c r="E41" s="1">
        <f t="shared" ca="1" si="1"/>
        <v>94</v>
      </c>
      <c r="F41" s="1">
        <f t="shared" ca="1" si="1"/>
        <v>62</v>
      </c>
      <c r="G41" s="1">
        <f t="shared" ca="1" si="1"/>
        <v>95</v>
      </c>
      <c r="H41" s="1">
        <f t="shared" ca="1" si="1"/>
        <v>14</v>
      </c>
      <c r="I41" s="1">
        <f t="shared" ca="1" si="1"/>
        <v>47</v>
      </c>
      <c r="J41" s="1">
        <f t="shared" ca="1" si="1"/>
        <v>70</v>
      </c>
      <c r="K41" s="1">
        <f t="shared" ca="1" si="1"/>
        <v>57</v>
      </c>
      <c r="L41" s="1">
        <f t="shared" ca="1" si="2"/>
        <v>56.9</v>
      </c>
    </row>
    <row r="42" spans="1:12" x14ac:dyDescent="0.55000000000000004">
      <c r="A42" s="2">
        <v>21</v>
      </c>
      <c r="B42" s="1">
        <f t="shared" ca="1" si="1"/>
        <v>80</v>
      </c>
      <c r="C42" s="1">
        <f t="shared" ca="1" si="1"/>
        <v>43</v>
      </c>
      <c r="D42" s="1">
        <f t="shared" ca="1" si="1"/>
        <v>96</v>
      </c>
      <c r="E42" s="1">
        <f t="shared" ca="1" si="1"/>
        <v>69</v>
      </c>
      <c r="F42" s="1">
        <f t="shared" ca="1" si="1"/>
        <v>32</v>
      </c>
      <c r="G42" s="1">
        <f t="shared" ca="1" si="1"/>
        <v>94</v>
      </c>
      <c r="H42" s="1">
        <f t="shared" ca="1" si="1"/>
        <v>56</v>
      </c>
      <c r="I42" s="1">
        <f t="shared" ca="1" si="1"/>
        <v>68</v>
      </c>
      <c r="J42" s="1">
        <f t="shared" ca="1" si="1"/>
        <v>24</v>
      </c>
      <c r="K42" s="1">
        <f t="shared" ca="1" si="1"/>
        <v>91</v>
      </c>
      <c r="L42" s="1">
        <f t="shared" ca="1" si="2"/>
        <v>65.3</v>
      </c>
    </row>
    <row r="43" spans="1:12" x14ac:dyDescent="0.55000000000000004">
      <c r="A43" s="2">
        <v>22</v>
      </c>
      <c r="B43" s="1">
        <f t="shared" ca="1" si="1"/>
        <v>97</v>
      </c>
      <c r="C43" s="1">
        <f t="shared" ca="1" si="1"/>
        <v>21</v>
      </c>
      <c r="D43" s="1">
        <f t="shared" ca="1" si="1"/>
        <v>41</v>
      </c>
      <c r="E43" s="1">
        <f t="shared" ca="1" si="1"/>
        <v>93</v>
      </c>
      <c r="F43" s="1">
        <f t="shared" ca="1" si="1"/>
        <v>90</v>
      </c>
      <c r="G43" s="1">
        <f t="shared" ca="1" si="1"/>
        <v>16</v>
      </c>
      <c r="H43" s="1">
        <f t="shared" ca="1" si="1"/>
        <v>19</v>
      </c>
      <c r="I43" s="1">
        <f t="shared" ca="1" si="1"/>
        <v>57</v>
      </c>
      <c r="J43" s="1">
        <f t="shared" ca="1" si="1"/>
        <v>32</v>
      </c>
      <c r="K43" s="1">
        <f t="shared" ca="1" si="1"/>
        <v>73</v>
      </c>
      <c r="L43" s="1">
        <f t="shared" ca="1" si="2"/>
        <v>53.9</v>
      </c>
    </row>
    <row r="44" spans="1:12" x14ac:dyDescent="0.55000000000000004">
      <c r="A44" s="2">
        <v>23</v>
      </c>
      <c r="B44" s="1">
        <f t="shared" ca="1" si="1"/>
        <v>79</v>
      </c>
      <c r="C44" s="1">
        <f t="shared" ca="1" si="1"/>
        <v>61</v>
      </c>
      <c r="D44" s="1">
        <f t="shared" ca="1" si="1"/>
        <v>51</v>
      </c>
      <c r="E44" s="1">
        <f t="shared" ca="1" si="1"/>
        <v>11</v>
      </c>
      <c r="F44" s="1">
        <f t="shared" ca="1" si="1"/>
        <v>23</v>
      </c>
      <c r="G44" s="1">
        <f t="shared" ca="1" si="1"/>
        <v>35</v>
      </c>
      <c r="H44" s="1">
        <f t="shared" ca="1" si="1"/>
        <v>20</v>
      </c>
      <c r="I44" s="1">
        <f t="shared" ca="1" si="1"/>
        <v>19</v>
      </c>
      <c r="J44" s="1">
        <f t="shared" ca="1" si="1"/>
        <v>10</v>
      </c>
      <c r="K44" s="1">
        <f t="shared" ca="1" si="1"/>
        <v>26</v>
      </c>
      <c r="L44" s="1">
        <f t="shared" ca="1" si="2"/>
        <v>33.5</v>
      </c>
    </row>
    <row r="45" spans="1:12" x14ac:dyDescent="0.55000000000000004">
      <c r="A45" s="2">
        <v>24</v>
      </c>
      <c r="B45" s="1">
        <f t="shared" ca="1" si="1"/>
        <v>61</v>
      </c>
      <c r="C45" s="1">
        <f t="shared" ca="1" si="1"/>
        <v>90</v>
      </c>
      <c r="D45" s="1">
        <f t="shared" ca="1" si="1"/>
        <v>18</v>
      </c>
      <c r="E45" s="1">
        <f t="shared" ca="1" si="1"/>
        <v>68</v>
      </c>
      <c r="F45" s="1">
        <f t="shared" ca="1" si="1"/>
        <v>54</v>
      </c>
      <c r="G45" s="1">
        <f t="shared" ca="1" si="1"/>
        <v>57</v>
      </c>
      <c r="H45" s="1">
        <f t="shared" ca="1" si="1"/>
        <v>35</v>
      </c>
      <c r="I45" s="1">
        <f t="shared" ca="1" si="1"/>
        <v>93</v>
      </c>
      <c r="J45" s="1">
        <f t="shared" ca="1" si="1"/>
        <v>87</v>
      </c>
      <c r="K45" s="1">
        <f t="shared" ca="1" si="1"/>
        <v>62</v>
      </c>
      <c r="L45" s="1">
        <f t="shared" ca="1" si="2"/>
        <v>62.5</v>
      </c>
    </row>
    <row r="46" spans="1:12" x14ac:dyDescent="0.55000000000000004">
      <c r="A46" s="2">
        <v>25</v>
      </c>
      <c r="B46" s="1">
        <f t="shared" ca="1" si="1"/>
        <v>84</v>
      </c>
      <c r="C46" s="1">
        <f t="shared" ca="1" si="1"/>
        <v>60</v>
      </c>
      <c r="D46" s="1">
        <f t="shared" ca="1" si="1"/>
        <v>27</v>
      </c>
      <c r="E46" s="1">
        <f t="shared" ca="1" si="1"/>
        <v>92</v>
      </c>
      <c r="F46" s="1">
        <f t="shared" ca="1" si="1"/>
        <v>77</v>
      </c>
      <c r="G46" s="1">
        <f t="shared" ca="1" si="1"/>
        <v>29</v>
      </c>
      <c r="H46" s="1">
        <f t="shared" ca="1" si="1"/>
        <v>32</v>
      </c>
      <c r="I46" s="1">
        <f t="shared" ca="1" si="1"/>
        <v>56</v>
      </c>
      <c r="J46" s="1">
        <f t="shared" ca="1" si="1"/>
        <v>93</v>
      </c>
      <c r="K46" s="1">
        <f t="shared" ca="1" si="1"/>
        <v>99</v>
      </c>
      <c r="L46" s="1">
        <f t="shared" ca="1" si="2"/>
        <v>64.900000000000006</v>
      </c>
    </row>
    <row r="47" spans="1:12" x14ac:dyDescent="0.55000000000000004">
      <c r="A47" s="2">
        <v>26</v>
      </c>
      <c r="B47" s="1">
        <f t="shared" ca="1" si="1"/>
        <v>45</v>
      </c>
      <c r="C47" s="1">
        <f t="shared" ca="1" si="1"/>
        <v>45</v>
      </c>
      <c r="D47" s="1">
        <f t="shared" ca="1" si="1"/>
        <v>54</v>
      </c>
      <c r="E47" s="1">
        <f t="shared" ca="1" si="1"/>
        <v>42</v>
      </c>
      <c r="F47" s="1">
        <f t="shared" ca="1" si="1"/>
        <v>68</v>
      </c>
      <c r="G47" s="1">
        <f t="shared" ca="1" si="1"/>
        <v>57</v>
      </c>
      <c r="H47" s="1">
        <f t="shared" ca="1" si="1"/>
        <v>57</v>
      </c>
      <c r="I47" s="1">
        <f t="shared" ca="1" si="1"/>
        <v>57</v>
      </c>
      <c r="J47" s="1">
        <f t="shared" ca="1" si="1"/>
        <v>65</v>
      </c>
      <c r="K47" s="1">
        <f t="shared" ca="1" si="1"/>
        <v>34</v>
      </c>
      <c r="L47" s="1">
        <f t="shared" ca="1" si="2"/>
        <v>52.4</v>
      </c>
    </row>
    <row r="48" spans="1:12" x14ac:dyDescent="0.55000000000000004">
      <c r="A48" s="2">
        <v>27</v>
      </c>
      <c r="B48" s="1">
        <f t="shared" ca="1" si="1"/>
        <v>95</v>
      </c>
      <c r="C48" s="1">
        <f t="shared" ca="1" si="1"/>
        <v>21</v>
      </c>
      <c r="D48" s="1">
        <f t="shared" ca="1" si="1"/>
        <v>77</v>
      </c>
      <c r="E48" s="1">
        <f t="shared" ca="1" si="1"/>
        <v>15</v>
      </c>
      <c r="F48" s="1">
        <f t="shared" ca="1" si="1"/>
        <v>95</v>
      </c>
      <c r="G48" s="1">
        <f t="shared" ca="1" si="1"/>
        <v>43</v>
      </c>
      <c r="H48" s="1">
        <f t="shared" ca="1" si="1"/>
        <v>53</v>
      </c>
      <c r="I48" s="1">
        <f t="shared" ca="1" si="1"/>
        <v>97</v>
      </c>
      <c r="J48" s="1">
        <f t="shared" ca="1" si="1"/>
        <v>56</v>
      </c>
      <c r="K48" s="1">
        <f t="shared" ca="1" si="1"/>
        <v>29</v>
      </c>
      <c r="L48" s="1">
        <f t="shared" ca="1" si="2"/>
        <v>58.1</v>
      </c>
    </row>
    <row r="49" spans="1:16" x14ac:dyDescent="0.55000000000000004">
      <c r="A49" s="2">
        <v>28</v>
      </c>
      <c r="B49" s="1">
        <f t="shared" ca="1" si="1"/>
        <v>31</v>
      </c>
      <c r="C49" s="1">
        <f t="shared" ca="1" si="1"/>
        <v>91</v>
      </c>
      <c r="D49" s="1">
        <f t="shared" ca="1" si="1"/>
        <v>61</v>
      </c>
      <c r="E49" s="1">
        <f t="shared" ca="1" si="1"/>
        <v>26</v>
      </c>
      <c r="F49" s="1">
        <f t="shared" ca="1" si="1"/>
        <v>62</v>
      </c>
      <c r="G49" s="1">
        <f t="shared" ca="1" si="1"/>
        <v>88</v>
      </c>
      <c r="H49" s="1">
        <f t="shared" ca="1" si="1"/>
        <v>54</v>
      </c>
      <c r="I49" s="1">
        <f t="shared" ca="1" si="1"/>
        <v>31</v>
      </c>
      <c r="J49" s="1">
        <f t="shared" ca="1" si="1"/>
        <v>51</v>
      </c>
      <c r="K49" s="1">
        <f t="shared" ca="1" si="1"/>
        <v>71</v>
      </c>
      <c r="L49" s="1">
        <f t="shared" ca="1" si="2"/>
        <v>56.6</v>
      </c>
    </row>
    <row r="50" spans="1:16" x14ac:dyDescent="0.55000000000000004">
      <c r="A50" s="2">
        <v>29</v>
      </c>
      <c r="B50" s="1">
        <f t="shared" ca="1" si="1"/>
        <v>68</v>
      </c>
      <c r="C50" s="1">
        <f t="shared" ca="1" si="1"/>
        <v>47</v>
      </c>
      <c r="D50" s="1">
        <f t="shared" ca="1" si="1"/>
        <v>31</v>
      </c>
      <c r="E50" s="1">
        <f t="shared" ca="1" si="1"/>
        <v>13</v>
      </c>
      <c r="F50" s="1">
        <f t="shared" ca="1" si="1"/>
        <v>86</v>
      </c>
      <c r="G50" s="1">
        <f t="shared" ca="1" si="1"/>
        <v>93</v>
      </c>
      <c r="H50" s="1">
        <f t="shared" ca="1" si="1"/>
        <v>99</v>
      </c>
      <c r="I50" s="1">
        <f t="shared" ca="1" si="1"/>
        <v>35</v>
      </c>
      <c r="J50" s="1">
        <f t="shared" ca="1" si="1"/>
        <v>69</v>
      </c>
      <c r="K50" s="1">
        <f t="shared" ca="1" si="1"/>
        <v>78</v>
      </c>
      <c r="L50" s="1">
        <f t="shared" ca="1" si="2"/>
        <v>61.9</v>
      </c>
    </row>
    <row r="51" spans="1:16" x14ac:dyDescent="0.55000000000000004">
      <c r="A51" s="2">
        <v>30</v>
      </c>
      <c r="B51" s="1">
        <f t="shared" ca="1" si="1"/>
        <v>14</v>
      </c>
      <c r="C51" s="1">
        <f t="shared" ca="1" si="1"/>
        <v>25</v>
      </c>
      <c r="D51" s="1">
        <f t="shared" ca="1" si="1"/>
        <v>59</v>
      </c>
      <c r="E51" s="1">
        <f t="shared" ca="1" si="1"/>
        <v>73</v>
      </c>
      <c r="F51" s="1">
        <f t="shared" ca="1" si="1"/>
        <v>70</v>
      </c>
      <c r="G51" s="1">
        <f t="shared" ca="1" si="1"/>
        <v>37</v>
      </c>
      <c r="H51" s="1">
        <f t="shared" ca="1" si="1"/>
        <v>48</v>
      </c>
      <c r="I51" s="1">
        <f t="shared" ca="1" si="1"/>
        <v>63</v>
      </c>
      <c r="J51" s="1">
        <f t="shared" ca="1" si="1"/>
        <v>33</v>
      </c>
      <c r="K51" s="1">
        <f t="shared" ca="1" si="1"/>
        <v>54</v>
      </c>
      <c r="L51" s="1">
        <f t="shared" ca="1" si="2"/>
        <v>47.6</v>
      </c>
    </row>
    <row r="53" spans="1:16" x14ac:dyDescent="0.55000000000000004">
      <c r="P53" t="s">
        <v>36</v>
      </c>
    </row>
    <row r="54" spans="1:16" x14ac:dyDescent="0.55000000000000004">
      <c r="A54" s="1" t="s">
        <v>2</v>
      </c>
      <c r="B54" s="1" t="s">
        <v>3</v>
      </c>
      <c r="C54" s="1" t="s">
        <v>4</v>
      </c>
      <c r="D54" s="1" t="s">
        <v>5</v>
      </c>
      <c r="E54" s="1" t="s">
        <v>6</v>
      </c>
      <c r="F54" s="1" t="s">
        <v>7</v>
      </c>
      <c r="G54" s="1" t="s">
        <v>8</v>
      </c>
      <c r="H54" s="1" t="s">
        <v>9</v>
      </c>
      <c r="I54" s="1" t="s">
        <v>10</v>
      </c>
      <c r="J54" s="1" t="s">
        <v>11</v>
      </c>
      <c r="K54" s="1" t="s">
        <v>12</v>
      </c>
      <c r="L54" s="1" t="s">
        <v>19</v>
      </c>
      <c r="P54" s="5" t="s">
        <v>37</v>
      </c>
    </row>
    <row r="55" spans="1:16" x14ac:dyDescent="0.55000000000000004">
      <c r="A55" s="2">
        <v>1</v>
      </c>
      <c r="B55" s="1">
        <v>34</v>
      </c>
      <c r="C55" s="1">
        <v>32</v>
      </c>
      <c r="D55" s="1">
        <v>82</v>
      </c>
      <c r="E55" s="1">
        <v>68</v>
      </c>
      <c r="F55" s="1">
        <v>82</v>
      </c>
      <c r="G55" s="1">
        <v>50</v>
      </c>
      <c r="H55" s="1">
        <v>20</v>
      </c>
      <c r="I55" s="1">
        <v>91</v>
      </c>
      <c r="J55" s="1">
        <v>52</v>
      </c>
      <c r="K55" s="1">
        <v>69</v>
      </c>
      <c r="L55" s="1">
        <v>58</v>
      </c>
      <c r="P55" t="s">
        <v>38</v>
      </c>
    </row>
    <row r="56" spans="1:16" x14ac:dyDescent="0.55000000000000004">
      <c r="A56" s="2">
        <v>2</v>
      </c>
      <c r="B56" s="1">
        <v>67</v>
      </c>
      <c r="C56" s="1">
        <v>58</v>
      </c>
      <c r="D56" s="1">
        <v>83</v>
      </c>
      <c r="E56" s="1">
        <v>19</v>
      </c>
      <c r="F56" s="1">
        <v>52</v>
      </c>
      <c r="G56" s="1">
        <v>70</v>
      </c>
      <c r="H56" s="1">
        <v>64</v>
      </c>
      <c r="I56" s="1">
        <v>57</v>
      </c>
      <c r="J56" s="1">
        <v>47</v>
      </c>
      <c r="K56" s="1">
        <v>53</v>
      </c>
      <c r="L56" s="1">
        <v>57</v>
      </c>
    </row>
    <row r="57" spans="1:16" x14ac:dyDescent="0.55000000000000004">
      <c r="A57" s="2">
        <v>3</v>
      </c>
      <c r="B57" s="1">
        <v>58</v>
      </c>
      <c r="C57" s="1">
        <v>57</v>
      </c>
      <c r="D57" s="1">
        <v>48</v>
      </c>
      <c r="E57" s="1">
        <v>61</v>
      </c>
      <c r="F57" s="1">
        <v>24</v>
      </c>
      <c r="G57" s="1">
        <v>36</v>
      </c>
      <c r="H57" s="1">
        <v>12</v>
      </c>
      <c r="I57" s="1">
        <v>52</v>
      </c>
      <c r="J57" s="1">
        <v>30</v>
      </c>
      <c r="K57" s="1">
        <v>69</v>
      </c>
      <c r="L57" s="1">
        <v>44.7</v>
      </c>
    </row>
    <row r="58" spans="1:16" x14ac:dyDescent="0.55000000000000004">
      <c r="A58" s="2">
        <v>4</v>
      </c>
      <c r="B58" s="1">
        <v>71</v>
      </c>
      <c r="C58" s="1">
        <v>57</v>
      </c>
      <c r="D58" s="1">
        <v>92</v>
      </c>
      <c r="E58" s="1">
        <v>57</v>
      </c>
      <c r="F58" s="1">
        <v>14</v>
      </c>
      <c r="G58" s="1">
        <v>84</v>
      </c>
      <c r="H58" s="1">
        <v>71</v>
      </c>
      <c r="I58" s="1">
        <v>72</v>
      </c>
      <c r="J58" s="1">
        <v>81</v>
      </c>
      <c r="K58" s="1">
        <v>76</v>
      </c>
      <c r="L58" s="1">
        <v>67.5</v>
      </c>
    </row>
    <row r="59" spans="1:16" x14ac:dyDescent="0.55000000000000004">
      <c r="A59" s="2">
        <v>5</v>
      </c>
      <c r="B59" s="1">
        <v>44</v>
      </c>
      <c r="C59" s="1">
        <v>48</v>
      </c>
      <c r="D59" s="1">
        <v>28</v>
      </c>
      <c r="E59" s="1">
        <v>74</v>
      </c>
      <c r="F59" s="1">
        <v>37</v>
      </c>
      <c r="G59" s="1">
        <v>26</v>
      </c>
      <c r="H59" s="1">
        <v>33</v>
      </c>
      <c r="I59" s="1">
        <v>22</v>
      </c>
      <c r="J59" s="1">
        <v>40</v>
      </c>
      <c r="K59" s="1">
        <v>90</v>
      </c>
      <c r="L59" s="1">
        <v>44.2</v>
      </c>
    </row>
    <row r="60" spans="1:16" x14ac:dyDescent="0.55000000000000004">
      <c r="A60" s="2">
        <v>6</v>
      </c>
      <c r="B60" s="1">
        <v>62</v>
      </c>
      <c r="C60" s="1">
        <v>10</v>
      </c>
      <c r="D60" s="1">
        <v>78</v>
      </c>
      <c r="E60" s="1">
        <v>19</v>
      </c>
      <c r="F60" s="1">
        <v>84</v>
      </c>
      <c r="G60" s="1">
        <v>76</v>
      </c>
      <c r="H60" s="1">
        <v>84</v>
      </c>
      <c r="I60" s="1">
        <v>48</v>
      </c>
      <c r="J60" s="1">
        <v>79</v>
      </c>
      <c r="K60" s="1">
        <v>85</v>
      </c>
      <c r="L60" s="1">
        <v>62.5</v>
      </c>
    </row>
    <row r="61" spans="1:16" x14ac:dyDescent="0.55000000000000004">
      <c r="A61" s="2">
        <v>7</v>
      </c>
      <c r="B61" s="1">
        <v>92</v>
      </c>
      <c r="C61" s="1">
        <v>79</v>
      </c>
      <c r="D61" s="1">
        <v>91</v>
      </c>
      <c r="E61" s="1">
        <v>37</v>
      </c>
      <c r="F61" s="1">
        <v>14</v>
      </c>
      <c r="G61" s="1">
        <v>18</v>
      </c>
      <c r="H61" s="1">
        <v>35</v>
      </c>
      <c r="I61" s="1">
        <v>26</v>
      </c>
      <c r="J61" s="1">
        <v>40</v>
      </c>
      <c r="K61" s="1">
        <v>42</v>
      </c>
      <c r="L61" s="1">
        <v>47.4</v>
      </c>
    </row>
    <row r="62" spans="1:16" x14ac:dyDescent="0.55000000000000004">
      <c r="A62" s="2">
        <v>8</v>
      </c>
      <c r="B62" s="1">
        <v>34</v>
      </c>
      <c r="C62" s="1">
        <v>29</v>
      </c>
      <c r="D62" s="1">
        <v>84</v>
      </c>
      <c r="E62" s="1">
        <v>53</v>
      </c>
      <c r="F62" s="1">
        <v>84</v>
      </c>
      <c r="G62" s="1">
        <v>90</v>
      </c>
      <c r="H62" s="1">
        <v>90</v>
      </c>
      <c r="I62" s="1">
        <v>34</v>
      </c>
      <c r="J62" s="1">
        <v>73</v>
      </c>
      <c r="K62" s="1">
        <v>63</v>
      </c>
      <c r="L62" s="1">
        <v>63.4</v>
      </c>
    </row>
    <row r="63" spans="1:16" x14ac:dyDescent="0.55000000000000004">
      <c r="A63" s="2">
        <v>9</v>
      </c>
      <c r="B63" s="1">
        <v>48</v>
      </c>
      <c r="C63" s="1">
        <v>32</v>
      </c>
      <c r="D63" s="1">
        <v>14</v>
      </c>
      <c r="E63" s="1">
        <v>94</v>
      </c>
      <c r="F63" s="1">
        <v>32</v>
      </c>
      <c r="G63" s="1">
        <v>35</v>
      </c>
      <c r="H63" s="1">
        <v>82</v>
      </c>
      <c r="I63" s="1">
        <v>35</v>
      </c>
      <c r="J63" s="1">
        <v>29</v>
      </c>
      <c r="K63" s="1">
        <v>27</v>
      </c>
      <c r="L63" s="1">
        <v>42.8</v>
      </c>
    </row>
    <row r="64" spans="1:16" x14ac:dyDescent="0.55000000000000004">
      <c r="A64" s="2">
        <v>10</v>
      </c>
      <c r="B64" s="1">
        <v>34</v>
      </c>
      <c r="C64" s="1">
        <v>59</v>
      </c>
      <c r="D64" s="1">
        <v>42</v>
      </c>
      <c r="E64" s="1">
        <v>34</v>
      </c>
      <c r="F64" s="1">
        <v>71</v>
      </c>
      <c r="G64" s="1">
        <v>37</v>
      </c>
      <c r="H64" s="1">
        <v>62</v>
      </c>
      <c r="I64" s="1">
        <v>61</v>
      </c>
      <c r="J64" s="1">
        <v>33</v>
      </c>
      <c r="K64" s="1">
        <v>23</v>
      </c>
      <c r="L64" s="1">
        <v>45.6</v>
      </c>
    </row>
    <row r="65" spans="1:12" x14ac:dyDescent="0.55000000000000004">
      <c r="A65" s="2">
        <v>11</v>
      </c>
      <c r="B65" s="1">
        <v>10</v>
      </c>
      <c r="C65" s="1">
        <v>22</v>
      </c>
      <c r="D65" s="1">
        <v>90</v>
      </c>
      <c r="E65" s="1">
        <v>99</v>
      </c>
      <c r="F65" s="1">
        <v>88</v>
      </c>
      <c r="G65" s="1">
        <v>15</v>
      </c>
      <c r="H65" s="1">
        <v>54</v>
      </c>
      <c r="I65" s="1">
        <v>47</v>
      </c>
      <c r="J65" s="1">
        <v>81</v>
      </c>
      <c r="K65" s="1">
        <v>77</v>
      </c>
      <c r="L65" s="1">
        <v>58.3</v>
      </c>
    </row>
    <row r="66" spans="1:12" x14ac:dyDescent="0.55000000000000004">
      <c r="A66" s="2">
        <v>12</v>
      </c>
      <c r="B66" s="1">
        <v>45</v>
      </c>
      <c r="C66" s="1">
        <v>70</v>
      </c>
      <c r="D66" s="1">
        <v>13</v>
      </c>
      <c r="E66" s="1">
        <v>48</v>
      </c>
      <c r="F66" s="1">
        <v>18</v>
      </c>
      <c r="G66" s="1">
        <v>36</v>
      </c>
      <c r="H66" s="1">
        <v>54</v>
      </c>
      <c r="I66" s="1">
        <v>21</v>
      </c>
      <c r="J66" s="1">
        <v>29</v>
      </c>
      <c r="K66" s="1">
        <v>33</v>
      </c>
      <c r="L66" s="1">
        <v>36.700000000000003</v>
      </c>
    </row>
    <row r="67" spans="1:12" x14ac:dyDescent="0.55000000000000004">
      <c r="A67" s="2">
        <v>13</v>
      </c>
      <c r="B67" s="1">
        <v>95</v>
      </c>
      <c r="C67" s="1">
        <v>83</v>
      </c>
      <c r="D67" s="1">
        <v>39</v>
      </c>
      <c r="E67" s="1">
        <v>65</v>
      </c>
      <c r="F67" s="1">
        <v>81</v>
      </c>
      <c r="G67" s="1">
        <v>81</v>
      </c>
      <c r="H67" s="1">
        <v>79</v>
      </c>
      <c r="I67" s="1">
        <v>98</v>
      </c>
      <c r="J67" s="1">
        <v>15</v>
      </c>
      <c r="K67" s="1">
        <v>12</v>
      </c>
      <c r="L67" s="1">
        <v>64.8</v>
      </c>
    </row>
    <row r="68" spans="1:12" x14ac:dyDescent="0.55000000000000004">
      <c r="A68" s="2">
        <v>14</v>
      </c>
      <c r="B68" s="1">
        <v>55</v>
      </c>
      <c r="C68" s="1">
        <v>23</v>
      </c>
      <c r="D68" s="1">
        <v>34</v>
      </c>
      <c r="E68" s="1">
        <v>93</v>
      </c>
      <c r="F68" s="1">
        <v>54</v>
      </c>
      <c r="G68" s="1">
        <v>83</v>
      </c>
      <c r="H68" s="1">
        <v>14</v>
      </c>
      <c r="I68" s="1">
        <v>84</v>
      </c>
      <c r="J68" s="1">
        <v>24</v>
      </c>
      <c r="K68" s="1">
        <v>50</v>
      </c>
      <c r="L68" s="1">
        <v>51.4</v>
      </c>
    </row>
    <row r="69" spans="1:12" x14ac:dyDescent="0.55000000000000004">
      <c r="A69" s="2">
        <v>15</v>
      </c>
      <c r="B69" s="1">
        <v>95</v>
      </c>
      <c r="C69" s="1">
        <v>85</v>
      </c>
      <c r="D69" s="1">
        <v>46</v>
      </c>
      <c r="E69" s="1">
        <v>57</v>
      </c>
      <c r="F69" s="1">
        <v>22</v>
      </c>
      <c r="G69" s="1">
        <v>37</v>
      </c>
      <c r="H69" s="1">
        <v>15</v>
      </c>
      <c r="I69" s="1">
        <v>66</v>
      </c>
      <c r="J69" s="1">
        <v>48</v>
      </c>
      <c r="K69" s="1">
        <v>30</v>
      </c>
      <c r="L69" s="1">
        <v>50.1</v>
      </c>
    </row>
    <row r="70" spans="1:12" x14ac:dyDescent="0.55000000000000004">
      <c r="A70" s="2">
        <v>16</v>
      </c>
      <c r="B70" s="1">
        <v>15</v>
      </c>
      <c r="C70" s="1">
        <v>11</v>
      </c>
      <c r="D70" s="1">
        <v>60</v>
      </c>
      <c r="E70" s="1">
        <v>55</v>
      </c>
      <c r="F70" s="1">
        <v>41</v>
      </c>
      <c r="G70" s="1">
        <v>39</v>
      </c>
      <c r="H70" s="1">
        <v>64</v>
      </c>
      <c r="I70" s="1">
        <v>72</v>
      </c>
      <c r="J70" s="1">
        <v>33</v>
      </c>
      <c r="K70" s="1">
        <v>25</v>
      </c>
      <c r="L70" s="1">
        <v>41.5</v>
      </c>
    </row>
    <row r="71" spans="1:12" x14ac:dyDescent="0.55000000000000004">
      <c r="A71" s="2">
        <v>17</v>
      </c>
      <c r="B71" s="1">
        <v>93</v>
      </c>
      <c r="C71" s="1">
        <v>78</v>
      </c>
      <c r="D71" s="1">
        <v>89</v>
      </c>
      <c r="E71" s="1">
        <v>14</v>
      </c>
      <c r="F71" s="1">
        <v>52</v>
      </c>
      <c r="G71" s="1">
        <v>97</v>
      </c>
      <c r="H71" s="1">
        <v>21</v>
      </c>
      <c r="I71" s="1">
        <v>93</v>
      </c>
      <c r="J71" s="1">
        <v>98</v>
      </c>
      <c r="K71" s="1">
        <v>73</v>
      </c>
      <c r="L71" s="1">
        <v>70.8</v>
      </c>
    </row>
    <row r="72" spans="1:12" x14ac:dyDescent="0.55000000000000004">
      <c r="A72" s="2">
        <v>18</v>
      </c>
      <c r="B72" s="1">
        <v>23</v>
      </c>
      <c r="C72" s="1">
        <v>64</v>
      </c>
      <c r="D72" s="1">
        <v>25</v>
      </c>
      <c r="E72" s="1">
        <v>31</v>
      </c>
      <c r="F72" s="1">
        <v>38</v>
      </c>
      <c r="G72" s="1">
        <v>80</v>
      </c>
      <c r="H72" s="1">
        <v>45</v>
      </c>
      <c r="I72" s="1">
        <v>32</v>
      </c>
      <c r="J72" s="1">
        <v>40</v>
      </c>
      <c r="K72" s="1">
        <v>23</v>
      </c>
      <c r="L72" s="1">
        <v>40.1</v>
      </c>
    </row>
    <row r="73" spans="1:12" x14ac:dyDescent="0.55000000000000004">
      <c r="A73" s="2">
        <v>19</v>
      </c>
      <c r="B73" s="1">
        <v>45</v>
      </c>
      <c r="C73" s="1">
        <v>89</v>
      </c>
      <c r="D73" s="1">
        <v>14</v>
      </c>
      <c r="E73" s="1">
        <v>43</v>
      </c>
      <c r="F73" s="1">
        <v>93</v>
      </c>
      <c r="G73" s="1">
        <v>64</v>
      </c>
      <c r="H73" s="1">
        <v>74</v>
      </c>
      <c r="I73" s="1">
        <v>24</v>
      </c>
      <c r="J73" s="1">
        <v>41</v>
      </c>
      <c r="K73" s="1">
        <v>66</v>
      </c>
      <c r="L73" s="1">
        <v>55.3</v>
      </c>
    </row>
    <row r="74" spans="1:12" x14ac:dyDescent="0.55000000000000004">
      <c r="A74" s="2">
        <v>20</v>
      </c>
      <c r="B74" s="1">
        <v>35</v>
      </c>
      <c r="C74" s="1">
        <v>46</v>
      </c>
      <c r="D74" s="1">
        <v>11</v>
      </c>
      <c r="E74" s="1">
        <v>65</v>
      </c>
      <c r="F74" s="1">
        <v>44</v>
      </c>
      <c r="G74" s="1">
        <v>24</v>
      </c>
      <c r="H74" s="1">
        <v>63</v>
      </c>
      <c r="I74" s="1">
        <v>96</v>
      </c>
      <c r="J74" s="1">
        <v>43</v>
      </c>
      <c r="K74" s="1">
        <v>29</v>
      </c>
      <c r="L74" s="1">
        <v>45.6</v>
      </c>
    </row>
    <row r="75" spans="1:12" x14ac:dyDescent="0.55000000000000004">
      <c r="A75" s="2">
        <v>21</v>
      </c>
      <c r="B75" s="1">
        <v>49</v>
      </c>
      <c r="C75" s="1">
        <v>64</v>
      </c>
      <c r="D75" s="1">
        <v>76</v>
      </c>
      <c r="E75" s="1">
        <v>66</v>
      </c>
      <c r="F75" s="1">
        <v>22</v>
      </c>
      <c r="G75" s="1">
        <v>39</v>
      </c>
      <c r="H75" s="1">
        <v>29</v>
      </c>
      <c r="I75" s="1">
        <v>99</v>
      </c>
      <c r="J75" s="1">
        <v>39</v>
      </c>
      <c r="K75" s="1">
        <v>80</v>
      </c>
      <c r="L75" s="1">
        <v>56.3</v>
      </c>
    </row>
    <row r="76" spans="1:12" x14ac:dyDescent="0.55000000000000004">
      <c r="A76" s="2">
        <v>22</v>
      </c>
      <c r="B76" s="1">
        <v>85</v>
      </c>
      <c r="C76" s="1">
        <v>47</v>
      </c>
      <c r="D76" s="1">
        <v>52</v>
      </c>
      <c r="E76" s="1">
        <v>48</v>
      </c>
      <c r="F76" s="1">
        <v>78</v>
      </c>
      <c r="G76" s="1">
        <v>60</v>
      </c>
      <c r="H76" s="1">
        <v>40</v>
      </c>
      <c r="I76" s="1">
        <v>91</v>
      </c>
      <c r="J76" s="1">
        <v>43</v>
      </c>
      <c r="K76" s="1">
        <v>55</v>
      </c>
      <c r="L76" s="1">
        <v>59.9</v>
      </c>
    </row>
    <row r="77" spans="1:12" x14ac:dyDescent="0.55000000000000004">
      <c r="A77" s="2">
        <v>23</v>
      </c>
      <c r="B77" s="1">
        <v>89</v>
      </c>
      <c r="C77" s="1">
        <v>72</v>
      </c>
      <c r="D77" s="1">
        <v>76</v>
      </c>
      <c r="E77" s="1">
        <v>36</v>
      </c>
      <c r="F77" s="1">
        <v>40</v>
      </c>
      <c r="G77" s="1">
        <v>30</v>
      </c>
      <c r="H77" s="1">
        <v>30</v>
      </c>
      <c r="I77" s="1">
        <v>63</v>
      </c>
      <c r="J77" s="1">
        <v>58</v>
      </c>
      <c r="K77" s="1">
        <v>67</v>
      </c>
      <c r="L77" s="1">
        <v>56.1</v>
      </c>
    </row>
    <row r="78" spans="1:12" x14ac:dyDescent="0.55000000000000004">
      <c r="A78" s="2">
        <v>24</v>
      </c>
      <c r="B78" s="1">
        <v>75</v>
      </c>
      <c r="C78" s="1">
        <v>61</v>
      </c>
      <c r="D78" s="1">
        <v>89</v>
      </c>
      <c r="E78" s="1">
        <v>10</v>
      </c>
      <c r="F78" s="1">
        <v>21</v>
      </c>
      <c r="G78" s="1">
        <v>31</v>
      </c>
      <c r="H78" s="1">
        <v>70</v>
      </c>
      <c r="I78" s="1">
        <v>29</v>
      </c>
      <c r="J78" s="1">
        <v>55</v>
      </c>
      <c r="K78" s="1">
        <v>78</v>
      </c>
      <c r="L78" s="1">
        <v>51.9</v>
      </c>
    </row>
    <row r="79" spans="1:12" x14ac:dyDescent="0.55000000000000004">
      <c r="A79" s="2">
        <v>25</v>
      </c>
      <c r="B79" s="1">
        <v>28</v>
      </c>
      <c r="C79" s="1">
        <v>70</v>
      </c>
      <c r="D79" s="1">
        <v>36</v>
      </c>
      <c r="E79" s="1">
        <v>27</v>
      </c>
      <c r="F79" s="1">
        <v>93</v>
      </c>
      <c r="G79" s="1">
        <v>17</v>
      </c>
      <c r="H79" s="1">
        <v>51</v>
      </c>
      <c r="I79" s="1">
        <v>95</v>
      </c>
      <c r="J79" s="1">
        <v>96</v>
      </c>
      <c r="K79" s="1">
        <v>81</v>
      </c>
      <c r="L79" s="1">
        <v>59.4</v>
      </c>
    </row>
    <row r="80" spans="1:12" x14ac:dyDescent="0.55000000000000004">
      <c r="A80" s="2">
        <v>26</v>
      </c>
      <c r="B80" s="1">
        <v>14</v>
      </c>
      <c r="C80" s="1">
        <v>17</v>
      </c>
      <c r="D80" s="1">
        <v>48</v>
      </c>
      <c r="E80" s="1">
        <v>71</v>
      </c>
      <c r="F80" s="1">
        <v>67</v>
      </c>
      <c r="G80" s="1">
        <v>44</v>
      </c>
      <c r="H80" s="1">
        <v>80</v>
      </c>
      <c r="I80" s="1">
        <v>27</v>
      </c>
      <c r="J80" s="1">
        <v>52</v>
      </c>
      <c r="K80" s="1">
        <v>41</v>
      </c>
      <c r="L80" s="1">
        <v>46.1</v>
      </c>
    </row>
    <row r="81" spans="1:12" x14ac:dyDescent="0.55000000000000004">
      <c r="A81" s="2">
        <v>27</v>
      </c>
      <c r="B81" s="1">
        <v>44</v>
      </c>
      <c r="C81" s="1">
        <v>20</v>
      </c>
      <c r="D81" s="1">
        <v>88</v>
      </c>
      <c r="E81" s="1">
        <v>41</v>
      </c>
      <c r="F81" s="1">
        <v>49</v>
      </c>
      <c r="G81" s="1">
        <v>27</v>
      </c>
      <c r="H81" s="1">
        <v>63</v>
      </c>
      <c r="I81" s="1">
        <v>61</v>
      </c>
      <c r="J81" s="1">
        <v>96</v>
      </c>
      <c r="K81" s="1">
        <v>81</v>
      </c>
      <c r="L81" s="1">
        <v>57</v>
      </c>
    </row>
    <row r="82" spans="1:12" x14ac:dyDescent="0.55000000000000004">
      <c r="A82" s="2">
        <v>28</v>
      </c>
      <c r="B82" s="1">
        <v>24</v>
      </c>
      <c r="C82" s="1">
        <v>75</v>
      </c>
      <c r="D82" s="1">
        <v>70</v>
      </c>
      <c r="E82" s="1">
        <v>39</v>
      </c>
      <c r="F82" s="1">
        <v>29</v>
      </c>
      <c r="G82" s="1">
        <v>40</v>
      </c>
      <c r="H82" s="1">
        <v>58</v>
      </c>
      <c r="I82" s="1">
        <v>83</v>
      </c>
      <c r="J82" s="1">
        <v>98</v>
      </c>
      <c r="K82" s="1">
        <v>91</v>
      </c>
      <c r="L82" s="1">
        <v>60.7</v>
      </c>
    </row>
    <row r="83" spans="1:12" x14ac:dyDescent="0.55000000000000004">
      <c r="A83" s="2">
        <v>29</v>
      </c>
      <c r="B83" s="1">
        <v>56</v>
      </c>
      <c r="C83" s="1">
        <v>51</v>
      </c>
      <c r="D83" s="1">
        <v>24</v>
      </c>
      <c r="E83" s="1">
        <v>54</v>
      </c>
      <c r="F83" s="1">
        <v>36</v>
      </c>
      <c r="G83" s="1">
        <v>97</v>
      </c>
      <c r="H83" s="1">
        <v>12</v>
      </c>
      <c r="I83" s="1">
        <v>49</v>
      </c>
      <c r="J83" s="1">
        <v>45</v>
      </c>
      <c r="K83" s="1">
        <v>55</v>
      </c>
      <c r="L83" s="1">
        <v>47.9</v>
      </c>
    </row>
    <row r="84" spans="1:12" x14ac:dyDescent="0.55000000000000004">
      <c r="A84" s="2">
        <v>30</v>
      </c>
      <c r="B84" s="1">
        <v>15</v>
      </c>
      <c r="C84" s="1">
        <v>21</v>
      </c>
      <c r="D84" s="1">
        <v>20</v>
      </c>
      <c r="E84" s="1">
        <v>50</v>
      </c>
      <c r="F84" s="1">
        <v>70</v>
      </c>
      <c r="G84" s="1">
        <v>65</v>
      </c>
      <c r="H84" s="1">
        <v>64</v>
      </c>
      <c r="I84" s="1">
        <v>44</v>
      </c>
      <c r="J84" s="1">
        <v>97</v>
      </c>
      <c r="K84" s="1">
        <v>84</v>
      </c>
      <c r="L84" s="1">
        <v>53</v>
      </c>
    </row>
    <row r="85" spans="1:12" x14ac:dyDescent="0.55000000000000004">
      <c r="A85" s="1" t="s">
        <v>20</v>
      </c>
      <c r="B85" s="4" t="s">
        <v>46</v>
      </c>
      <c r="C85" s="1">
        <f t="shared" ref="C85:L85" si="3">MAX(C55:C84)</f>
        <v>89</v>
      </c>
      <c r="D85" s="1">
        <f t="shared" si="3"/>
        <v>92</v>
      </c>
      <c r="E85" s="1">
        <f t="shared" si="3"/>
        <v>99</v>
      </c>
      <c r="F85" s="1">
        <f t="shared" si="3"/>
        <v>93</v>
      </c>
      <c r="G85" s="1">
        <f t="shared" si="3"/>
        <v>97</v>
      </c>
      <c r="H85" s="1">
        <f t="shared" si="3"/>
        <v>90</v>
      </c>
      <c r="I85" s="1">
        <f t="shared" si="3"/>
        <v>99</v>
      </c>
      <c r="J85" s="1">
        <f t="shared" si="3"/>
        <v>98</v>
      </c>
      <c r="K85" s="1">
        <f t="shared" si="3"/>
        <v>91</v>
      </c>
      <c r="L85" s="1">
        <f t="shared" si="3"/>
        <v>70.8</v>
      </c>
    </row>
    <row r="86" spans="1:12" x14ac:dyDescent="0.55000000000000004">
      <c r="A86" s="1" t="s">
        <v>21</v>
      </c>
      <c r="B86" s="4" t="s">
        <v>45</v>
      </c>
      <c r="C86" s="1">
        <f t="shared" ref="C86:L86" si="4">QUARTILE(C55:C84,3)</f>
        <v>70</v>
      </c>
      <c r="D86" s="1">
        <f t="shared" si="4"/>
        <v>82.75</v>
      </c>
      <c r="E86" s="1">
        <f t="shared" si="4"/>
        <v>65</v>
      </c>
      <c r="F86" s="1">
        <f t="shared" si="4"/>
        <v>76.25</v>
      </c>
      <c r="G86" s="1">
        <f t="shared" si="4"/>
        <v>74.5</v>
      </c>
      <c r="H86" s="1">
        <f t="shared" si="4"/>
        <v>68.5</v>
      </c>
      <c r="I86" s="1">
        <f t="shared" si="4"/>
        <v>83.75</v>
      </c>
      <c r="J86" s="1">
        <f t="shared" si="4"/>
        <v>77.5</v>
      </c>
      <c r="K86" s="1">
        <f t="shared" si="4"/>
        <v>77.75</v>
      </c>
      <c r="L86" s="1">
        <f t="shared" si="4"/>
        <v>59.125</v>
      </c>
    </row>
    <row r="87" spans="1:12" x14ac:dyDescent="0.55000000000000004">
      <c r="A87" s="1" t="s">
        <v>22</v>
      </c>
      <c r="B87" s="4" t="s">
        <v>44</v>
      </c>
      <c r="C87" s="1">
        <f t="shared" ref="C87:L87" si="5">MEDIAN(C55:C84)</f>
        <v>57</v>
      </c>
      <c r="D87" s="1">
        <f t="shared" si="5"/>
        <v>50</v>
      </c>
      <c r="E87" s="1">
        <f t="shared" si="5"/>
        <v>51.5</v>
      </c>
      <c r="F87" s="1">
        <f t="shared" si="5"/>
        <v>46.5</v>
      </c>
      <c r="G87" s="1">
        <f t="shared" si="5"/>
        <v>39.5</v>
      </c>
      <c r="H87" s="1">
        <f t="shared" si="5"/>
        <v>56</v>
      </c>
      <c r="I87" s="1">
        <f t="shared" si="5"/>
        <v>59</v>
      </c>
      <c r="J87" s="1">
        <f t="shared" si="5"/>
        <v>46</v>
      </c>
      <c r="K87" s="1">
        <f t="shared" si="5"/>
        <v>64.5</v>
      </c>
      <c r="L87" s="1">
        <f t="shared" si="5"/>
        <v>54.15</v>
      </c>
    </row>
    <row r="88" spans="1:12" x14ac:dyDescent="0.55000000000000004">
      <c r="A88" s="1" t="s">
        <v>23</v>
      </c>
      <c r="B88" s="4" t="s">
        <v>43</v>
      </c>
      <c r="C88" s="1">
        <f t="shared" ref="C88:L88" si="6">QUARTILE(C55:C84,1)</f>
        <v>29.75</v>
      </c>
      <c r="D88" s="1">
        <f t="shared" si="6"/>
        <v>29.5</v>
      </c>
      <c r="E88" s="1">
        <f t="shared" si="6"/>
        <v>36.25</v>
      </c>
      <c r="F88" s="1">
        <f t="shared" si="6"/>
        <v>29.75</v>
      </c>
      <c r="G88" s="1">
        <f t="shared" si="6"/>
        <v>32</v>
      </c>
      <c r="H88" s="1">
        <f t="shared" si="6"/>
        <v>30.75</v>
      </c>
      <c r="I88" s="1">
        <f t="shared" si="6"/>
        <v>34.25</v>
      </c>
      <c r="J88" s="1">
        <f t="shared" si="6"/>
        <v>39.25</v>
      </c>
      <c r="K88" s="1">
        <f t="shared" si="6"/>
        <v>35</v>
      </c>
      <c r="L88" s="1">
        <f t="shared" si="6"/>
        <v>45.725000000000001</v>
      </c>
    </row>
    <row r="89" spans="1:12" x14ac:dyDescent="0.55000000000000004">
      <c r="A89" s="1" t="s">
        <v>24</v>
      </c>
      <c r="B89" s="4" t="s">
        <v>42</v>
      </c>
      <c r="C89" s="1">
        <f t="shared" ref="C89:L89" si="7">MIN(C55:C84)</f>
        <v>10</v>
      </c>
      <c r="D89" s="1">
        <f t="shared" si="7"/>
        <v>11</v>
      </c>
      <c r="E89" s="1">
        <f t="shared" si="7"/>
        <v>10</v>
      </c>
      <c r="F89" s="1">
        <f t="shared" si="7"/>
        <v>14</v>
      </c>
      <c r="G89" s="1">
        <f t="shared" si="7"/>
        <v>15</v>
      </c>
      <c r="H89" s="1">
        <f t="shared" si="7"/>
        <v>12</v>
      </c>
      <c r="I89" s="1">
        <f t="shared" si="7"/>
        <v>21</v>
      </c>
      <c r="J89" s="1">
        <f t="shared" si="7"/>
        <v>15</v>
      </c>
      <c r="K89" s="1">
        <f t="shared" si="7"/>
        <v>12</v>
      </c>
      <c r="L89" s="1">
        <f t="shared" si="7"/>
        <v>36.700000000000003</v>
      </c>
    </row>
    <row r="90" spans="1:12" x14ac:dyDescent="0.55000000000000004">
      <c r="A90" s="1" t="s">
        <v>25</v>
      </c>
      <c r="B90" s="4" t="s">
        <v>41</v>
      </c>
      <c r="C90" s="1">
        <f t="shared" ref="C90:L90" si="8">AVERAGE(C55:C84)</f>
        <v>51</v>
      </c>
      <c r="D90" s="1">
        <f t="shared" si="8"/>
        <v>54.733333333333334</v>
      </c>
      <c r="E90" s="1">
        <f t="shared" si="8"/>
        <v>50.93333333333333</v>
      </c>
      <c r="F90" s="1">
        <f t="shared" si="8"/>
        <v>51</v>
      </c>
      <c r="G90" s="1">
        <f t="shared" si="8"/>
        <v>50.93333333333333</v>
      </c>
      <c r="H90" s="1">
        <f t="shared" si="8"/>
        <v>51.1</v>
      </c>
      <c r="I90" s="1">
        <f t="shared" si="8"/>
        <v>59.06666666666667</v>
      </c>
      <c r="J90" s="1">
        <f t="shared" si="8"/>
        <v>54.5</v>
      </c>
      <c r="K90" s="1">
        <f t="shared" si="8"/>
        <v>57.6</v>
      </c>
      <c r="L90" s="1">
        <f t="shared" si="8"/>
        <v>53.2</v>
      </c>
    </row>
    <row r="91" spans="1:12" x14ac:dyDescent="0.55000000000000004">
      <c r="A91" s="1" t="s">
        <v>26</v>
      </c>
      <c r="B91" s="4" t="s">
        <v>40</v>
      </c>
      <c r="C91" s="1">
        <f t="shared" ref="C91:L91" si="9">_xlfn.VAR.S(C55:C84)</f>
        <v>575.10344827586209</v>
      </c>
      <c r="D91" s="1">
        <f t="shared" si="9"/>
        <v>813.65057471264379</v>
      </c>
      <c r="E91" s="1">
        <f t="shared" si="9"/>
        <v>519.4436781609196</v>
      </c>
      <c r="F91" s="1">
        <f t="shared" si="9"/>
        <v>673.79310344827582</v>
      </c>
      <c r="G91" s="1">
        <f t="shared" si="9"/>
        <v>651.99540229885065</v>
      </c>
      <c r="H91" s="1">
        <f t="shared" si="9"/>
        <v>575.81724137931019</v>
      </c>
      <c r="I91" s="1">
        <f t="shared" si="9"/>
        <v>697.4436781609196</v>
      </c>
      <c r="J91" s="1">
        <f t="shared" si="9"/>
        <v>628.60344827586209</v>
      </c>
      <c r="K91" s="1">
        <f t="shared" si="9"/>
        <v>561.90344827586193</v>
      </c>
      <c r="L91" s="1">
        <f t="shared" si="9"/>
        <v>74.609655172414563</v>
      </c>
    </row>
    <row r="92" spans="1:12" x14ac:dyDescent="0.55000000000000004">
      <c r="A92" s="1" t="s">
        <v>27</v>
      </c>
      <c r="B92" s="4" t="s">
        <v>39</v>
      </c>
      <c r="C92" s="1">
        <f t="shared" ref="C92:L92" si="10">_xlfn.STDEV.S(C55:C84)</f>
        <v>23.98131456521644</v>
      </c>
      <c r="D92" s="1">
        <f t="shared" si="10"/>
        <v>28.524560903064639</v>
      </c>
      <c r="E92" s="1">
        <f t="shared" si="10"/>
        <v>22.791307074429049</v>
      </c>
      <c r="F92" s="1">
        <f t="shared" si="10"/>
        <v>25.957524986952741</v>
      </c>
      <c r="G92" s="1">
        <f t="shared" si="10"/>
        <v>25.534200639511916</v>
      </c>
      <c r="H92" s="1">
        <f t="shared" si="10"/>
        <v>23.99619222667026</v>
      </c>
      <c r="I92" s="1">
        <f t="shared" si="10"/>
        <v>26.40915898246136</v>
      </c>
      <c r="J92" s="1">
        <f t="shared" si="10"/>
        <v>25.071965385183947</v>
      </c>
      <c r="K92" s="1">
        <f t="shared" si="10"/>
        <v>23.704502700454654</v>
      </c>
      <c r="L92" s="1">
        <f t="shared" si="10"/>
        <v>8.6376880687146009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yuj-tanaka</dc:creator>
  <cp:lastModifiedBy>25a1188</cp:lastModifiedBy>
  <dcterms:created xsi:type="dcterms:W3CDTF">2026-07-10T00:07:25Z</dcterms:created>
  <dcterms:modified xsi:type="dcterms:W3CDTF">2026-07-15T23:39:00Z</dcterms:modified>
</cp:coreProperties>
</file>